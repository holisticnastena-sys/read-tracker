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Лист2" sheetId="2" state="visible" r:id="rId2"/>
  </sheets>
  <definedNames>
    <definedName name="_xlnm._FilterDatabase" localSheetId="0" hidden="1">'Лист1'!$A$1:$M$116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5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223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4" fontId="0" fillId="0" borderId="0" applyAlignment="1" pivotButton="0" quotePrefix="0" xfId="0">
      <alignment horizontal="left" vertical="top"/>
    </xf>
    <xf numFmtId="2" fontId="0" fillId="0" borderId="0" applyAlignment="1" pivotButton="0" quotePrefix="0" xfId="0">
      <alignment horizontal="left" vertical="top"/>
    </xf>
    <xf numFmtId="1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center"/>
    </xf>
    <xf numFmtId="2" fontId="1" fillId="0" borderId="0" applyAlignment="1" pivotButton="0" quotePrefix="0" xfId="0">
      <alignment horizontal="center" vertical="center"/>
    </xf>
    <xf numFmtId="0" fontId="2" fillId="0" borderId="0" pivotButton="0" quotePrefix="0" xfId="1"/>
    <xf numFmtId="0" fontId="4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Обычный" xfId="0" builtinId="0"/>
    <cellStyle name="Гиперссылка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"/>
  <sheetViews>
    <sheetView tabSelected="1" zoomScale="85" zoomScaleNormal="85" workbookViewId="0">
      <pane ySplit="1" topLeftCell="A2" activePane="bottomLeft" state="frozen"/>
      <selection pane="bottomLeft" activeCell="I20" sqref="I20"/>
    </sheetView>
  </sheetViews>
  <sheetFormatPr baseColWidth="8" defaultRowHeight="14.4"/>
  <cols>
    <col width="34" customWidth="1" style="4" min="1" max="1"/>
    <col width="24" bestFit="1" customWidth="1" style="5" min="2" max="2"/>
    <col width="26" customWidth="1" style="4" min="3" max="3"/>
    <col width="15" customWidth="1" style="5" min="4" max="4"/>
    <col width="15" bestFit="1" customWidth="1" style="5" min="5" max="5"/>
    <col width="16" bestFit="1" customWidth="1" style="5" min="6" max="6"/>
    <col width="11" bestFit="1" customWidth="1" style="5" min="7" max="7"/>
    <col width="10" customWidth="1" style="5" min="8" max="8"/>
    <col width="20" bestFit="1" customWidth="1" style="6" min="9" max="10"/>
    <col width="20" customWidth="1" min="10" max="10"/>
    <col width="14" bestFit="1" customWidth="1" style="5" min="11" max="11"/>
    <col width="14" customWidth="1" style="7" min="12" max="12"/>
    <col width="25" customWidth="1" min="13" max="13"/>
    <col width="10" customWidth="1" min="14" max="14"/>
    <col width="45" customWidth="1" min="15" max="15"/>
  </cols>
  <sheetData>
    <row r="1">
      <c r="A1" s="12" t="inlineStr">
        <is>
          <t>Название</t>
        </is>
      </c>
      <c r="B1" s="12" t="inlineStr">
        <is>
          <t>Автор</t>
        </is>
      </c>
      <c r="C1" s="12" t="inlineStr">
        <is>
          <t>Серия</t>
        </is>
      </c>
      <c r="D1" s="12" t="inlineStr">
        <is>
          <t>Книга в серии</t>
        </is>
      </c>
      <c r="E1" s="12" t="inlineStr">
        <is>
          <t>Статус</t>
        </is>
      </c>
      <c r="F1" s="12" t="inlineStr">
        <is>
          <t>Формат</t>
        </is>
      </c>
      <c r="G1" s="12" t="inlineStr">
        <is>
          <t>Страницы</t>
        </is>
      </c>
      <c r="H1" s="12" t="inlineStr">
        <is>
          <t>Часы</t>
        </is>
      </c>
      <c r="I1" s="12" t="inlineStr">
        <is>
          <t>Прочитано страниц</t>
        </is>
      </c>
      <c r="J1" s="12" t="inlineStr">
        <is>
          <t>Прослушано часов</t>
        </is>
      </c>
      <c r="K1" s="12" t="inlineStr">
        <is>
          <t>Начало</t>
        </is>
      </c>
      <c r="L1" s="12" t="inlineStr">
        <is>
          <t>Конец</t>
        </is>
      </c>
      <c r="M1" s="12" t="inlineStr">
        <is>
          <t>Длительность чтения, дней</t>
        </is>
      </c>
      <c r="N1" s="12" t="inlineStr">
        <is>
          <t>Оценка</t>
        </is>
      </c>
      <c r="O1" s="12" t="inlineStr">
        <is>
          <t>Обложка</t>
        </is>
      </c>
    </row>
    <row r="2" ht="28.8" customHeight="1">
      <c r="A2" t="inlineStr">
        <is>
          <t>Непротиворечие</t>
        </is>
      </c>
      <c r="B2" t="inlineStr">
        <is>
          <t>Айн Рэнд</t>
        </is>
      </c>
      <c r="C2" t="inlineStr">
        <is>
          <t>Атлант расправил плечи</t>
        </is>
      </c>
      <c r="D2" t="n">
        <v>1</v>
      </c>
      <c r="E2" t="inlineStr">
        <is>
          <t>Брошено</t>
        </is>
      </c>
      <c r="F2" t="inlineStr">
        <is>
          <t>Аудиокнига</t>
        </is>
      </c>
      <c r="H2" t="n">
        <v>2</v>
      </c>
      <c r="K2" s="15" t="n">
        <v>45845</v>
      </c>
      <c r="L2" s="15" t="n">
        <v>45845</v>
      </c>
      <c r="M2">
        <f>IF(OR(K2="",L2=""),"",MAX(1,L2-K2+1))</f>
        <v/>
      </c>
      <c r="N2" s="16" t="inlineStr">
        <is>
          <t>3.0</t>
        </is>
      </c>
      <c r="O2" t="inlineStr">
        <is>
          <t>https://avatars.mds.yandex.net/get-mpic/19197102/2a0000019f79e6462e1c35e48a3ca77af98b/orig</t>
        </is>
      </c>
    </row>
    <row r="3">
      <c r="A3" t="inlineStr">
        <is>
          <t>Дом девушек</t>
        </is>
      </c>
      <c r="B3" t="inlineStr">
        <is>
          <t>Андреас Винкельманн</t>
        </is>
      </c>
      <c r="E3" t="inlineStr">
        <is>
          <t>Прочитано</t>
        </is>
      </c>
      <c r="F3" t="inlineStr">
        <is>
          <t>Аудиокнига</t>
        </is>
      </c>
      <c r="H3" t="n">
        <v>11.5</v>
      </c>
      <c r="K3" s="15" t="n">
        <v>46022</v>
      </c>
      <c r="L3" s="15" t="n">
        <v>46030</v>
      </c>
      <c r="M3">
        <f>IF(OR(K3="",L3=""),"",MAX(1,L3-K3+1))</f>
        <v/>
      </c>
      <c r="N3" s="16" t="inlineStr">
        <is>
          <t>3.5</t>
        </is>
      </c>
      <c r="O3" t="inlineStr">
        <is>
          <t>https://avatars.mds.yandex.net/i?id=0b991fb7cc231ac3c20e757b250befd0_l-5884402-images-thumbs&amp;n=13</t>
        </is>
      </c>
    </row>
    <row r="4">
      <c r="A4" t="inlineStr">
        <is>
          <t>Сожженные земли. Лишний</t>
        </is>
      </c>
      <c r="B4" t="inlineStr">
        <is>
          <t>Анна Щучкина</t>
        </is>
      </c>
      <c r="C4" t="inlineStr">
        <is>
          <t>Сожженные земли</t>
        </is>
      </c>
      <c r="D4" t="n">
        <v>1</v>
      </c>
      <c r="E4" t="inlineStr">
        <is>
          <t>Брошено</t>
        </is>
      </c>
      <c r="F4" t="inlineStr">
        <is>
          <t>Аудиокнига</t>
        </is>
      </c>
      <c r="K4" s="15" t="n">
        <v>46248</v>
      </c>
      <c r="L4" s="15" t="n">
        <v>46249</v>
      </c>
      <c r="M4">
        <f>IF(OR(K4="",L4=""),"",MAX(1,L4-K4+1))</f>
        <v/>
      </c>
      <c r="N4" s="16" t="inlineStr">
        <is>
          <t>0.5</t>
        </is>
      </c>
      <c r="O4" t="inlineStr">
        <is>
          <t>https://avatars.mds.yandex.net/i?id=5a3d366fd658ea3aa238b10a22212fae2cbf2420-4236663-images-thumbs&amp;n=13</t>
        </is>
      </c>
    </row>
    <row r="5">
      <c r="A5" t="inlineStr">
        <is>
          <t>Тревожные люди</t>
        </is>
      </c>
      <c r="B5" t="inlineStr">
        <is>
          <t>Бакман Фредрик</t>
        </is>
      </c>
      <c r="E5" t="inlineStr">
        <is>
          <t>К прочтению</t>
        </is>
      </c>
      <c r="F5" t="inlineStr">
        <is>
          <t>Аудиокнига</t>
        </is>
      </c>
      <c r="K5" s="15" t="n"/>
      <c r="L5" s="15" t="n"/>
      <c r="M5">
        <f>IF(OR(K5="",L5=""),"",MAX(1,L5-K5+1))</f>
        <v/>
      </c>
      <c r="N5" s="16" t="n"/>
      <c r="O5" t="inlineStr">
        <is>
          <t>https://i.ytimg.com/vi/7lyMFCUmvhA/maxresdefault.jpg?sqp=-oaymwEmCIAKENAF8quKqQMa8AEB-AHUBoAC4AOKAgwIABABGH8gWigbMA8=&amp;amp;rs=AOn4CLCg0BEzjnSeFauZJLuP_QouzwZhmw</t>
        </is>
      </c>
    </row>
    <row r="6" ht="28.8" customHeight="1">
      <c r="A6" t="inlineStr">
        <is>
          <t>Каждый в нашей семье кого-нибудь да убил</t>
        </is>
      </c>
      <c r="B6" t="inlineStr">
        <is>
          <t>Бенджамин Стивенсон</t>
        </is>
      </c>
      <c r="C6" t="inlineStr">
        <is>
          <t>Эрнест Каннингем</t>
        </is>
      </c>
      <c r="D6" t="n">
        <v>1</v>
      </c>
      <c r="E6" t="inlineStr">
        <is>
          <t>Брошено</t>
        </is>
      </c>
      <c r="F6" t="inlineStr">
        <is>
          <t>Аудиокнига</t>
        </is>
      </c>
      <c r="K6" s="15" t="n">
        <v>46248</v>
      </c>
      <c r="L6" s="15" t="n">
        <v>46249</v>
      </c>
      <c r="M6">
        <f>IF(OR(K6="",L6=""),"",MAX(1,L6-K6+1))</f>
        <v/>
      </c>
      <c r="N6" s="16" t="inlineStr">
        <is>
          <t>1.0</t>
        </is>
      </c>
      <c r="O6" t="inlineStr">
        <is>
          <t>https://avatars.mds.yandex.net/i?id=4e7999b3cee35c85142dc046879c4eae54966002-4863363-images-thumbs&amp;n=13</t>
        </is>
      </c>
    </row>
    <row r="7">
      <c r="A7" t="inlineStr">
        <is>
          <t>Желтый уровень опасности</t>
        </is>
      </c>
      <c r="B7" t="inlineStr">
        <is>
          <t>Брит Бильдёэн</t>
        </is>
      </c>
      <c r="E7" t="inlineStr">
        <is>
          <t>К прочтению</t>
        </is>
      </c>
      <c r="F7" t="inlineStr">
        <is>
          <t>Аудиокнига</t>
        </is>
      </c>
      <c r="K7" s="15" t="n"/>
      <c r="L7" s="15" t="n"/>
      <c r="M7">
        <f>IF(OR(K7="",L7=""),"",MAX(1,L7-K7+1))</f>
        <v/>
      </c>
      <c r="N7" s="16" t="n"/>
      <c r="O7" t="inlineStr">
        <is>
          <t>https://avatars.mds.yandex.net/i?id=bb37237ad0081924c3c94692bf4d92804efa7890-4274912-images-thumbs&amp;n=13</t>
        </is>
      </c>
    </row>
    <row r="8">
      <c r="A8" t="inlineStr">
        <is>
          <t>Собор Парижской Богоматери</t>
        </is>
      </c>
      <c r="B8" t="inlineStr">
        <is>
          <t>Виктор Гюго</t>
        </is>
      </c>
      <c r="E8" t="inlineStr">
        <is>
          <t>К прочтению</t>
        </is>
      </c>
      <c r="F8" t="inlineStr">
        <is>
          <t>Комикс</t>
        </is>
      </c>
      <c r="K8" s="15" t="n"/>
      <c r="L8" s="15" t="n"/>
      <c r="M8">
        <f>IF(OR(K8="",L8=""),"",MAX(1,L8-K8+1))</f>
        <v/>
      </c>
      <c r="N8" s="16" t="n"/>
      <c r="O8" t="inlineStr">
        <is>
          <t>https://avatars.mds.yandex.net/i?id=d9185a89931d7091a0176a8a029a7ab7968c560e-5876212-images-thumbs&amp;n=13</t>
        </is>
      </c>
    </row>
    <row r="9">
      <c r="A9" t="inlineStr">
        <is>
          <t>Моё пост-имаго</t>
        </is>
      </c>
      <c r="B9" t="inlineStr">
        <is>
          <t>Владимир Торин</t>
        </is>
      </c>
      <c r="E9" t="inlineStr">
        <is>
          <t>Прочитано</t>
        </is>
      </c>
      <c r="F9" t="inlineStr">
        <is>
          <t>Аудиокнига</t>
        </is>
      </c>
      <c r="K9" s="15" t="n">
        <v>46080</v>
      </c>
      <c r="L9" s="15" t="n">
        <v>46091</v>
      </c>
      <c r="M9">
        <f>IF(OR(K9="",L9=""),"",MAX(1,L9-K9+1))</f>
        <v/>
      </c>
      <c r="N9" s="16" t="inlineStr">
        <is>
          <t>5.0</t>
        </is>
      </c>
      <c r="O9" t="inlineStr">
        <is>
          <t>https://avatars.mds.yandex.net/i?id=009c17327d91e71ad05448980fcf3c3c110e2af3-5248224-images-thumbs&amp;n=13</t>
        </is>
      </c>
    </row>
    <row r="10">
      <c r="A10" t="inlineStr">
        <is>
          <t>О носах и замках</t>
        </is>
      </c>
      <c r="B10" t="inlineStr">
        <is>
          <t>Владимир Торин</t>
        </is>
      </c>
      <c r="E10" t="inlineStr">
        <is>
          <t>Прочитано</t>
        </is>
      </c>
      <c r="F10" t="inlineStr">
        <is>
          <t>Аудиокнига</t>
        </is>
      </c>
      <c r="K10" s="15" t="n">
        <v>46089</v>
      </c>
      <c r="L10" s="15" t="n">
        <v>46101</v>
      </c>
      <c r="M10">
        <f>IF(OR(K10="",L10=""),"",MAX(1,L10-K10+1))</f>
        <v/>
      </c>
      <c r="N10" s="16" t="inlineStr">
        <is>
          <t>5.0</t>
        </is>
      </c>
      <c r="O10" t="inlineStr">
        <is>
          <t>https://avatars.mds.yandex.net/i?id=d7a338b207f6c44a41182025ce5f8c4d8f845280-12145584-images-thumbs&amp;n=13</t>
        </is>
      </c>
    </row>
    <row r="11">
      <c r="A11" t="inlineStr">
        <is>
          <t>Тайна дома №12 на улице Флоретт</t>
        </is>
      </c>
      <c r="B11" t="inlineStr">
        <is>
          <t>Владимир Торин</t>
        </is>
      </c>
      <c r="E11" t="inlineStr">
        <is>
          <t>Прочитано</t>
        </is>
      </c>
      <c r="F11" t="inlineStr">
        <is>
          <t>Аудиокнига</t>
        </is>
      </c>
      <c r="K11" s="15" t="n">
        <v>46101</v>
      </c>
      <c r="L11" s="15" t="n">
        <v>46107</v>
      </c>
      <c r="M11">
        <f>IF(OR(K11="",L11=""),"",MAX(1,L11-K11+1))</f>
        <v/>
      </c>
      <c r="N11" s="16" t="inlineStr">
        <is>
          <t>5.0</t>
        </is>
      </c>
      <c r="O11" t="inlineStr">
        <is>
          <t>https://avatars.mds.yandex.net/i?id=b601053b826b47dbc6aaf7a978d1a106db996995-4089855-images-thumbs&amp;n=13</t>
        </is>
      </c>
    </row>
    <row r="12">
      <c r="A12" t="inlineStr">
        <is>
          <t>Птицы</t>
        </is>
      </c>
      <c r="B12" t="inlineStr">
        <is>
          <t>Владимир Торин</t>
        </is>
      </c>
      <c r="E12" t="inlineStr">
        <is>
          <t>Прочитано</t>
        </is>
      </c>
      <c r="F12" t="inlineStr">
        <is>
          <t>Аудиокнига</t>
        </is>
      </c>
      <c r="K12" s="15" t="n">
        <v>46107</v>
      </c>
      <c r="L12" s="15" t="n">
        <v>46116</v>
      </c>
      <c r="M12">
        <f>IF(OR(K12="",L12=""),"",MAX(1,L12-K12+1))</f>
        <v/>
      </c>
      <c r="N12" s="16" t="inlineStr">
        <is>
          <t>5.0</t>
        </is>
      </c>
      <c r="O12" t="inlineStr">
        <is>
          <t>https://avatars.mds.yandex.net/i?id=e2953fa048d442293cff0daacdad9348693150c1-5523519-images-thumbs&amp;n=13</t>
        </is>
      </c>
    </row>
    <row r="13">
      <c r="A13" t="inlineStr">
        <is>
          <t>Игра Данте</t>
        </is>
      </c>
      <c r="B13" t="inlineStr">
        <is>
          <t>Владислав Луговский</t>
        </is>
      </c>
      <c r="E13" t="inlineStr">
        <is>
          <t>Брошено</t>
        </is>
      </c>
      <c r="F13" t="inlineStr">
        <is>
          <t>Аудиокнига</t>
        </is>
      </c>
      <c r="K13" s="15" t="n">
        <v>46117</v>
      </c>
      <c r="L13" s="15" t="n">
        <v>46117</v>
      </c>
      <c r="M13">
        <f>IF(OR(K13="",L13=""),"",MAX(1,L13-K13+1))</f>
        <v/>
      </c>
      <c r="N13" s="16" t="inlineStr">
        <is>
          <t>2.0</t>
        </is>
      </c>
      <c r="O13" t="inlineStr">
        <is>
          <t>https://avatars.mds.yandex.net/i?id=fba48ad9d4d3584052d60aa5ef94901089e8bcd9-4872419-images-thumbs&amp;n=13</t>
        </is>
      </c>
    </row>
    <row r="14" ht="28.8" customHeight="1">
      <c r="A14" t="inlineStr">
        <is>
          <t>Выход 8. Одно решение может изменить все</t>
        </is>
      </c>
      <c r="B14" t="inlineStr">
        <is>
          <t>Гэнки Кавамура</t>
        </is>
      </c>
      <c r="E14" t="inlineStr">
        <is>
          <t>Прочитано</t>
        </is>
      </c>
      <c r="F14" t="inlineStr">
        <is>
          <t>Аудиокнига</t>
        </is>
      </c>
      <c r="K14" s="15" t="n">
        <v>46182</v>
      </c>
      <c r="L14" s="15" t="n">
        <v>46182</v>
      </c>
      <c r="M14">
        <f>IF(OR(K14="",L14=""),"",MAX(1,L14-K14+1))</f>
        <v/>
      </c>
      <c r="N14" s="16" t="inlineStr">
        <is>
          <t>3.5</t>
        </is>
      </c>
      <c r="O14" t="inlineStr">
        <is>
          <t>https://cdn.eksmo.ru/v2/ITDA00000000066075/COVER/cover1__w600.jpg</t>
        </is>
      </c>
    </row>
    <row r="15">
      <c r="A15" t="inlineStr">
        <is>
          <t>Верь мне</t>
        </is>
      </c>
      <c r="B15" t="inlineStr">
        <is>
          <t>Дж. П. Делейни</t>
        </is>
      </c>
      <c r="E15" t="inlineStr">
        <is>
          <t>Брошено</t>
        </is>
      </c>
      <c r="F15" t="inlineStr">
        <is>
          <t>Аудиокнига</t>
        </is>
      </c>
      <c r="K15" s="15" t="n">
        <v>46045</v>
      </c>
      <c r="L15" s="15" t="n">
        <v>46045</v>
      </c>
      <c r="M15">
        <f>IF(OR(K15="",L15=""),"",MAX(1,L15-K15+1))</f>
        <v/>
      </c>
      <c r="N15" s="16" t="inlineStr">
        <is>
          <t>1.5</t>
        </is>
      </c>
      <c r="O15" t="inlineStr">
        <is>
          <t>https://avatars.mds.yandex.net/i?id=c15436385ae511a3c552eadd3b54d3315f1cb806-4533750-images-thumbs&amp;n=13</t>
        </is>
      </c>
    </row>
    <row r="16">
      <c r="A16" t="inlineStr">
        <is>
          <t>Синие бабочки</t>
        </is>
      </c>
      <c r="B16" t="inlineStr">
        <is>
          <t>Джек Тодд</t>
        </is>
      </c>
      <c r="E16" t="inlineStr">
        <is>
          <t>На паузе</t>
        </is>
      </c>
      <c r="F16" t="inlineStr">
        <is>
          <t>Аудиокнига</t>
        </is>
      </c>
      <c r="K16" s="15" t="n">
        <v>46058</v>
      </c>
      <c r="L16" s="15" t="n"/>
      <c r="M16">
        <f>IF(OR(K16="",L16=""),"",MAX(1,L16-K16+1))</f>
        <v/>
      </c>
      <c r="N16" s="16" t="inlineStr">
        <is>
          <t>0.0</t>
        </is>
      </c>
      <c r="O16" t="inlineStr">
        <is>
          <t>https://avatars.mds.yandex.net/i?id=65960f5785211216487a091374a73e5f55733508-4611905-images-thumbs&amp;n=13</t>
        </is>
      </c>
    </row>
    <row r="17">
      <c r="A17" t="inlineStr">
        <is>
          <t>Птичий короб</t>
        </is>
      </c>
      <c r="B17" t="inlineStr">
        <is>
          <t>Джош Малерман</t>
        </is>
      </c>
      <c r="C17" t="inlineStr">
        <is>
          <t>Птичий короб</t>
        </is>
      </c>
      <c r="D17" t="n">
        <v>1</v>
      </c>
      <c r="E17" t="inlineStr">
        <is>
          <t>Прочитано</t>
        </is>
      </c>
      <c r="F17" t="inlineStr">
        <is>
          <t>Аудиокнига</t>
        </is>
      </c>
      <c r="K17" s="15" t="n">
        <v>46118</v>
      </c>
      <c r="L17" s="15" t="n">
        <v>46121</v>
      </c>
      <c r="M17">
        <f>IF(OR(K17="",L17=""),"",MAX(1,L17-K17+1))</f>
        <v/>
      </c>
      <c r="N17" s="16" t="inlineStr">
        <is>
          <t>5.0</t>
        </is>
      </c>
      <c r="O17" t="inlineStr">
        <is>
          <t>https://avatars.mds.yandex.net/i?id=e2ff7447561dd0753b60bfe1e6f268903a675271-5624148-images-thumbs&amp;n=13</t>
        </is>
      </c>
    </row>
    <row r="18">
      <c r="A18" t="inlineStr">
        <is>
          <t>Мэлори</t>
        </is>
      </c>
      <c r="B18" t="inlineStr">
        <is>
          <t>Джош Малерман</t>
        </is>
      </c>
      <c r="C18" t="inlineStr">
        <is>
          <t>Птичий короб</t>
        </is>
      </c>
      <c r="D18" t="n">
        <v>2</v>
      </c>
      <c r="E18" t="inlineStr">
        <is>
          <t>Прочитано</t>
        </is>
      </c>
      <c r="F18" t="inlineStr">
        <is>
          <t>Аудиокнига</t>
        </is>
      </c>
      <c r="K18" s="15" t="n">
        <v>46122</v>
      </c>
      <c r="L18" s="15" t="n">
        <v>46125</v>
      </c>
      <c r="M18">
        <f>IF(OR(K18="",L18=""),"",MAX(1,L18-K18+1))</f>
        <v/>
      </c>
      <c r="N18" s="16" t="inlineStr">
        <is>
          <t>5.0</t>
        </is>
      </c>
      <c r="O18" t="inlineStr">
        <is>
          <t>https://avatars.mds.yandex.net/i?id=a697c3cfc6630db2802eae7b8e85b5556173819b-5895977-images-thumbs&amp;n=13</t>
        </is>
      </c>
    </row>
    <row r="19">
      <c r="A19" t="inlineStr">
        <is>
          <t>Дом лжи</t>
        </is>
      </c>
      <c r="B19" t="inlineStr">
        <is>
          <t>Дэвид Эллис</t>
        </is>
      </c>
      <c r="E19" t="inlineStr">
        <is>
          <t>Брошено</t>
        </is>
      </c>
      <c r="F19" t="inlineStr">
        <is>
          <t>Аудиокнига</t>
        </is>
      </c>
      <c r="K19" s="15" t="n">
        <v>46117</v>
      </c>
      <c r="L19" s="15" t="n">
        <v>46117</v>
      </c>
      <c r="M19">
        <f>IF(OR(K19="",L19=""),"",MAX(1,L19-K19+1))</f>
        <v/>
      </c>
      <c r="N19" s="16" t="inlineStr">
        <is>
          <t>1.5</t>
        </is>
      </c>
      <c r="O19" t="inlineStr">
        <is>
          <t>https://avatars.mds.yandex.net/i?id=5aa610f2eb6666cdb78fd86bbf272889_l-9213890-images-thumbs&amp;n=13</t>
        </is>
      </c>
    </row>
    <row r="20" ht="43.2" customHeight="1">
      <c r="A20" t="inlineStr">
        <is>
          <t>Когда нет сил. Действенные рекомендации врача от надоевшей усталости</t>
        </is>
      </c>
      <c r="B20" t="inlineStr">
        <is>
          <t>Екатерина Корсева</t>
        </is>
      </c>
      <c r="E20" t="inlineStr">
        <is>
          <t>Читаю</t>
        </is>
      </c>
      <c r="F20" t="inlineStr">
        <is>
          <t>Аудиокнига</t>
        </is>
      </c>
      <c r="K20" s="15" t="n">
        <v>45888</v>
      </c>
      <c r="L20" s="15" t="n"/>
      <c r="M20">
        <f>IF(OR(K20="",L20=""),"",MAX(1,L20-K20+1))</f>
        <v/>
      </c>
      <c r="N20" s="16" t="inlineStr">
        <is>
          <t>0.0</t>
        </is>
      </c>
      <c r="O20" t="inlineStr">
        <is>
          <t>https://avatars.mds.yandex.net/i?id=c5d7af92492a0bba0fe07985bfe8f3b1500effec-5245836-images-thumbs&amp;n=13</t>
        </is>
      </c>
    </row>
    <row r="21">
      <c r="A21" t="inlineStr">
        <is>
          <t>Поезд убийц</t>
        </is>
      </c>
      <c r="B21" t="inlineStr">
        <is>
          <t>Исака Котаро</t>
        </is>
      </c>
      <c r="C21" t="inlineStr">
        <is>
          <t>Убийцы</t>
        </is>
      </c>
      <c r="D21" t="n">
        <v>1</v>
      </c>
      <c r="E21" t="inlineStr">
        <is>
          <t>На паузе</t>
        </is>
      </c>
      <c r="F21" t="inlineStr">
        <is>
          <t>Аудиокнига</t>
        </is>
      </c>
      <c r="K21" s="15" t="n">
        <v>46118</v>
      </c>
      <c r="L21" s="15" t="n"/>
      <c r="M21">
        <f>IF(OR(K21="",L21=""),"",MAX(1,L21-K21+1))</f>
        <v/>
      </c>
      <c r="N21" s="16" t="inlineStr">
        <is>
          <t>0.0</t>
        </is>
      </c>
      <c r="O21" t="inlineStr">
        <is>
          <t>https://avatars.mds.yandex.net/i?id=2554f044f2e18643170904c89648657cdc97d693-15415022-images-thumbs&amp;n=13</t>
        </is>
      </c>
    </row>
    <row r="22">
      <c r="A22" t="inlineStr">
        <is>
          <t>Тринадцать</t>
        </is>
      </c>
      <c r="B22" t="inlineStr">
        <is>
          <t>Кавана Стив</t>
        </is>
      </c>
      <c r="C22" t="inlineStr">
        <is>
          <t>Эдди Флинн</t>
        </is>
      </c>
      <c r="D22" t="n">
        <v>4</v>
      </c>
      <c r="E22" t="inlineStr">
        <is>
          <t>К прочтению</t>
        </is>
      </c>
      <c r="F22" t="inlineStr">
        <is>
          <t>Аудиокнига</t>
        </is>
      </c>
      <c r="K22" s="15" t="n"/>
      <c r="L22" s="15" t="n"/>
      <c r="M22">
        <f>IF(OR(K22="",L22=""),"",MAX(1,L22-K22+1))</f>
        <v/>
      </c>
      <c r="N22" s="16" t="n"/>
      <c r="O22" t="inlineStr">
        <is>
          <t>https://avatars.mds.yandex.net/i?id=b7e669b8df03a5f93788fc88bfd92a9aeefeebe0-10414372-images-thumbs&amp;n=13</t>
        </is>
      </c>
    </row>
    <row r="23" ht="28.8" customHeight="1">
      <c r="A23" t="inlineStr">
        <is>
          <t>Безумно богатые азиаты</t>
        </is>
      </c>
      <c r="B23" t="inlineStr">
        <is>
          <t>Кевин Кван</t>
        </is>
      </c>
      <c r="C23" t="inlineStr">
        <is>
          <t>Безумно богатые азиаты</t>
        </is>
      </c>
      <c r="D23" t="n">
        <v>1</v>
      </c>
      <c r="E23" t="inlineStr">
        <is>
          <t>К прочтению</t>
        </is>
      </c>
      <c r="F23" t="inlineStr">
        <is>
          <t>Аудиокнига</t>
        </is>
      </c>
      <c r="K23" s="15" t="n"/>
      <c r="L23" s="15" t="n"/>
      <c r="M23">
        <f>IF(OR(K23="",L23=""),"",MAX(1,L23-K23+1))</f>
        <v/>
      </c>
      <c r="N23" s="16" t="n"/>
      <c r="O23" t="inlineStr">
        <is>
          <t>https://avatars.mds.yandex.net/i?id=d376ba9db5e5bf1887e6eaf0bd47e963b54760f6-5283885-images-thumbs&amp;n=13</t>
        </is>
      </c>
    </row>
    <row r="24" ht="28.8" customHeight="1">
      <c r="A24" t="inlineStr">
        <is>
          <t>Безумно богатая китайская девушка</t>
        </is>
      </c>
      <c r="B24" t="inlineStr">
        <is>
          <t>Кевин Кван</t>
        </is>
      </c>
      <c r="C24" t="inlineStr">
        <is>
          <t>Безумно богатые азиаты</t>
        </is>
      </c>
      <c r="D24" t="n">
        <v>2</v>
      </c>
      <c r="E24" t="inlineStr">
        <is>
          <t>К прочтению</t>
        </is>
      </c>
      <c r="F24" t="inlineStr">
        <is>
          <t>Аудиокнига</t>
        </is>
      </c>
      <c r="K24" s="15" t="n"/>
      <c r="L24" s="15" t="n"/>
      <c r="M24">
        <f>IF(OR(K24="",L24=""),"",MAX(1,L24-K24+1))</f>
        <v/>
      </c>
      <c r="N24" s="16" t="n"/>
      <c r="O24" t="inlineStr">
        <is>
          <t>https://avatars.mds.yandex.net/i?id=5d96b3fc66738555360aa570b259b6e231f4b724-5529172-images-thumbs&amp;n=13</t>
        </is>
      </c>
    </row>
    <row r="25" ht="28.8" customHeight="1">
      <c r="A25" t="inlineStr">
        <is>
          <t xml:space="preserve"> </t>
        </is>
      </c>
      <c r="B25" t="inlineStr">
        <is>
          <t>Кевин Кван</t>
        </is>
      </c>
      <c r="C25" t="inlineStr">
        <is>
          <t>Безумно богатые азиаты</t>
        </is>
      </c>
      <c r="D25" t="n">
        <v>3</v>
      </c>
      <c r="E25" t="inlineStr">
        <is>
          <t>К прочтению</t>
        </is>
      </c>
      <c r="F25" t="inlineStr">
        <is>
          <t>Аудиокнига</t>
        </is>
      </c>
      <c r="K25" s="15" t="n"/>
      <c r="L25" s="15" t="n"/>
      <c r="M25">
        <f>IF(OR(K25="",L25=""),"",MAX(1,L25-K25+1))</f>
        <v/>
      </c>
      <c r="N25" s="16" t="n"/>
      <c r="O25" t="inlineStr">
        <is>
          <t>https://avatars.mds.yandex.net/i?id=bc3905f5613ef06785d29e56a2d7e65c62fb370e-4782879-images-thumbs&amp;n=13</t>
        </is>
      </c>
    </row>
    <row r="26">
      <c r="A26" t="inlineStr">
        <is>
          <t>Обед, согревающий душу</t>
        </is>
      </c>
      <c r="B26" t="inlineStr">
        <is>
          <t>Ким Чжи Юн</t>
        </is>
      </c>
      <c r="E26" t="inlineStr">
        <is>
          <t>Брошено</t>
        </is>
      </c>
      <c r="F26" t="inlineStr">
        <is>
          <t>Аудиокнига</t>
        </is>
      </c>
      <c r="K26" s="15" t="n">
        <v>46059</v>
      </c>
      <c r="L26" s="15" t="n">
        <v>46061</v>
      </c>
      <c r="M26">
        <f>IF(OR(K26="",L26=""),"",MAX(1,L26-K26+1))</f>
        <v/>
      </c>
      <c r="N26" s="16" t="inlineStr">
        <is>
          <t>4.0</t>
        </is>
      </c>
      <c r="O26" t="inlineStr">
        <is>
          <t>https://avatars.mds.yandex.net/i?id=d88baf8f3e356a56538b39c6de16a2d79b5e7639-5382326-images-thumbs&amp;n=13</t>
        </is>
      </c>
    </row>
    <row r="27">
      <c r="A27" t="inlineStr">
        <is>
          <t>Ешь, пей, спи</t>
        </is>
      </c>
      <c r="B27" t="inlineStr">
        <is>
          <t>Ким Ын Сук</t>
        </is>
      </c>
      <c r="E27" t="inlineStr">
        <is>
          <t>Брошено</t>
        </is>
      </c>
      <c r="F27" t="inlineStr">
        <is>
          <t>Аудиокнига</t>
        </is>
      </c>
      <c r="K27" s="15" t="n">
        <v>45811</v>
      </c>
      <c r="L27" s="15" t="n">
        <v>45812</v>
      </c>
      <c r="M27">
        <f>IF(OR(K27="",L27=""),"",MAX(1,L27-K27+1))</f>
        <v/>
      </c>
      <c r="N27" s="16" t="inlineStr">
        <is>
          <t>2.5</t>
        </is>
      </c>
      <c r="O27" t="inlineStr">
        <is>
          <t>https://avatars.mds.yandex.net/i?id=8feba0b7136f224fbcb6d1a3db5ce1a35cfe8b2e-5747098-images-thumbs&amp;n=13</t>
        </is>
      </c>
    </row>
    <row r="28">
      <c r="A28" t="inlineStr">
        <is>
          <t>Цвет мести</t>
        </is>
      </c>
      <c r="B28" t="inlineStr">
        <is>
          <t>Корнелия Функе</t>
        </is>
      </c>
      <c r="C28" t="inlineStr">
        <is>
          <t>Чернильный мир</t>
        </is>
      </c>
      <c r="D28" t="n">
        <v>4</v>
      </c>
      <c r="E28" t="inlineStr">
        <is>
          <t>К прочтению</t>
        </is>
      </c>
      <c r="F28" t="inlineStr">
        <is>
          <t>Аудиокнига</t>
        </is>
      </c>
      <c r="K28" s="15" t="n"/>
      <c r="L28" s="15" t="n"/>
      <c r="M28">
        <f>IF(OR(K28="",L28=""),"",MAX(1,L28-K28+1))</f>
        <v/>
      </c>
      <c r="N28" s="16" t="n"/>
      <c r="O28" t="inlineStr">
        <is>
          <t>https://avatars.mds.yandex.net/i?id=8e0ca8bd15bcc39dfb6b4b6f2e43412175696cf6-8174327-images-thumbs&amp;n=13</t>
        </is>
      </c>
    </row>
    <row r="29">
      <c r="A29" t="inlineStr">
        <is>
          <t>Чернильная кровь</t>
        </is>
      </c>
      <c r="B29" t="inlineStr">
        <is>
          <t>Корнелия Функе</t>
        </is>
      </c>
      <c r="C29" t="inlineStr">
        <is>
          <t>Чернильный мир</t>
        </is>
      </c>
      <c r="D29" t="n">
        <v>2</v>
      </c>
      <c r="E29" t="inlineStr">
        <is>
          <t>К прочтению</t>
        </is>
      </c>
      <c r="F29" t="inlineStr">
        <is>
          <t>Аудиокнига</t>
        </is>
      </c>
      <c r="K29" s="15" t="n"/>
      <c r="L29" s="15" t="n"/>
      <c r="M29">
        <f>IF(OR(K29="",L29=""),"",MAX(1,L29-K29+1))</f>
        <v/>
      </c>
      <c r="N29" s="16" t="n"/>
      <c r="O29" t="inlineStr">
        <is>
          <t>https://avatars.mds.yandex.net/i?id=7fbd749b3892811d87cf0695bce21e2416a4fa96-10555888-images-thumbs&amp;n=13</t>
        </is>
      </c>
    </row>
    <row r="30">
      <c r="A30" t="inlineStr">
        <is>
          <t>Чернильная смерть</t>
        </is>
      </c>
      <c r="B30" t="inlineStr">
        <is>
          <t>Корнелия Функе</t>
        </is>
      </c>
      <c r="C30" t="inlineStr">
        <is>
          <t>Чернильный мир</t>
        </is>
      </c>
      <c r="D30" t="n">
        <v>3</v>
      </c>
      <c r="E30" t="inlineStr">
        <is>
          <t>К прочтению</t>
        </is>
      </c>
      <c r="F30" t="inlineStr">
        <is>
          <t>Аудиокнига</t>
        </is>
      </c>
      <c r="K30" s="15" t="n"/>
      <c r="L30" s="15" t="n"/>
      <c r="M30">
        <f>IF(OR(K30="",L30=""),"",MAX(1,L30-K30+1))</f>
        <v/>
      </c>
      <c r="N30" s="16" t="n"/>
      <c r="O30" t="inlineStr">
        <is>
          <t>https://avatars.mds.yandex.net/i?id=21d66e9843709ff45bb3fb94f204b44b041ed9f8-5390729-images-thumbs&amp;n=13</t>
        </is>
      </c>
    </row>
    <row r="31" ht="28.8" customHeight="1">
      <c r="A31" t="inlineStr">
        <is>
          <t>Руководство королевы красоты по убийствам</t>
        </is>
      </c>
      <c r="B31" t="inlineStr">
        <is>
          <t>Кристен Бёрд</t>
        </is>
      </c>
      <c r="E31" t="inlineStr">
        <is>
          <t>Брошено</t>
        </is>
      </c>
      <c r="F31" t="inlineStr">
        <is>
          <t>Аудиокнига</t>
        </is>
      </c>
      <c r="K31" s="15" t="n">
        <v>46074</v>
      </c>
      <c r="L31" s="15" t="n">
        <v>46091</v>
      </c>
      <c r="M31">
        <f>IF(OR(K31="",L31=""),"",MAX(1,L31-K31+1))</f>
        <v/>
      </c>
      <c r="N31" s="16" t="inlineStr">
        <is>
          <t>0.5</t>
        </is>
      </c>
      <c r="O31" t="inlineStr">
        <is>
          <t>https://avatars.mds.yandex.net/i?id=eb55162a03bf88c2bea4fdfbcf86031f132f83ca-4445533-images-thumbs&amp;n=13</t>
        </is>
      </c>
    </row>
    <row r="32">
      <c r="A32" t="inlineStr">
        <is>
          <t>Гончие Лилит</t>
        </is>
      </c>
      <c r="B32" t="inlineStr">
        <is>
          <t>Кристина Старк</t>
        </is>
      </c>
      <c r="E32" t="inlineStr">
        <is>
          <t>Брошено</t>
        </is>
      </c>
      <c r="F32" t="inlineStr">
        <is>
          <t>Аудиокнига</t>
        </is>
      </c>
      <c r="K32" s="15" t="n">
        <v>45810</v>
      </c>
      <c r="L32" s="15" t="n">
        <v>45811</v>
      </c>
      <c r="M32">
        <f>IF(OR(K32="",L32=""),"",MAX(1,L32-K32+1))</f>
        <v/>
      </c>
      <c r="N32" s="16" t="inlineStr">
        <is>
          <t>2.0</t>
        </is>
      </c>
      <c r="O32" t="inlineStr">
        <is>
          <t>https://avatars.mds.yandex.net/i?id=aa88488ea439ed006fd0180d515ee59191f34cdc-4055204-images-thumbs&amp;n=13</t>
        </is>
      </c>
    </row>
    <row r="33">
      <c r="A33" t="inlineStr">
        <is>
          <t>Стигмалион</t>
        </is>
      </c>
      <c r="B33" t="inlineStr">
        <is>
          <t>Кристина Старк</t>
        </is>
      </c>
      <c r="E33" t="inlineStr">
        <is>
          <t>Прочитано</t>
        </is>
      </c>
      <c r="F33" t="inlineStr">
        <is>
          <t>Аудиокнига</t>
        </is>
      </c>
      <c r="K33" s="15" t="n">
        <v>46157</v>
      </c>
      <c r="L33" s="15" t="n">
        <v>46176</v>
      </c>
      <c r="M33">
        <f>IF(OR(K33="",L33=""),"",MAX(1,L33-K33+1))</f>
        <v/>
      </c>
      <c r="N33" s="16" t="inlineStr">
        <is>
          <t>5.0</t>
        </is>
      </c>
      <c r="O33" t="inlineStr">
        <is>
          <t>https://avatars.mds.yandex.net/i?id=928c45741be8e8414c02e9611aa82a7c352650f2-5280263-images-thumbs&amp;n=13</t>
        </is>
      </c>
    </row>
    <row r="34">
      <c r="A34" t="inlineStr">
        <is>
          <t>Мое убийство</t>
        </is>
      </c>
      <c r="B34" t="inlineStr">
        <is>
          <t>Кэти Уильямс</t>
        </is>
      </c>
      <c r="E34" t="inlineStr">
        <is>
          <t>Брошено</t>
        </is>
      </c>
      <c r="F34" t="inlineStr">
        <is>
          <t>Аудиокнига</t>
        </is>
      </c>
      <c r="K34" s="15" t="n">
        <v>46073</v>
      </c>
      <c r="L34" s="15" t="n">
        <v>46091</v>
      </c>
      <c r="M34">
        <f>IF(OR(K34="",L34=""),"",MAX(1,L34-K34+1))</f>
        <v/>
      </c>
      <c r="N34" s="16" t="inlineStr">
        <is>
          <t>1.5</t>
        </is>
      </c>
      <c r="O34" t="inlineStr">
        <is>
          <t>https://avatars.mds.yandex.net/i?id=eeff05a0f4fb000cefae05b1c65a5f258ff034b3-5233025-images-thumbs&amp;n=13</t>
        </is>
      </c>
    </row>
    <row r="35">
      <c r="A35" t="inlineStr">
        <is>
          <t>Убить Кролика Питера</t>
        </is>
      </c>
      <c r="B35" t="inlineStr">
        <is>
          <t>Ли Чханён</t>
        </is>
      </c>
      <c r="E35" t="inlineStr">
        <is>
          <t>Брошено</t>
        </is>
      </c>
      <c r="F35" t="inlineStr">
        <is>
          <t>Аудиокнига</t>
        </is>
      </c>
      <c r="K35" s="15" t="n">
        <v>46051</v>
      </c>
      <c r="L35" s="15" t="n">
        <v>46061</v>
      </c>
      <c r="M35">
        <f>IF(OR(K35="",L35=""),"",MAX(1,L35-K35+1))</f>
        <v/>
      </c>
      <c r="N35" s="16" t="inlineStr">
        <is>
          <t>2.0</t>
        </is>
      </c>
      <c r="O35" t="inlineStr">
        <is>
          <t>https://avatars.mds.yandex.net/i?id=94504beea06852ad7be6ab4d33a9e761048f5083-4546446-images-thumbs&amp;n=13</t>
        </is>
      </c>
    </row>
    <row r="36">
      <c r="A36" t="inlineStr">
        <is>
          <t>Странная Салли Даймонд</t>
        </is>
      </c>
      <c r="B36" t="inlineStr">
        <is>
          <t>Лиз Ньюджент</t>
        </is>
      </c>
      <c r="E36" t="inlineStr">
        <is>
          <t>Прочитано</t>
        </is>
      </c>
      <c r="F36" t="inlineStr">
        <is>
          <t>Аудиокнига</t>
        </is>
      </c>
      <c r="K36" s="15" t="n">
        <v>46051</v>
      </c>
      <c r="L36" s="15" t="n">
        <v>46064</v>
      </c>
      <c r="M36">
        <f>IF(OR(K36="",L36=""),"",MAX(1,L36-K36+1))</f>
        <v/>
      </c>
      <c r="N36" s="16" t="inlineStr">
        <is>
          <t>5.0</t>
        </is>
      </c>
      <c r="O36" t="inlineStr">
        <is>
          <t>https://avatars.mds.yandex.net/i?id=d3226f4b51e2538368f152b842b34535_l-9871403-images-thumbs&amp;n=13</t>
        </is>
      </c>
    </row>
    <row r="37">
      <c r="A37" t="inlineStr">
        <is>
          <t>Сад твоей лжи</t>
        </is>
      </c>
      <c r="B37" t="inlineStr">
        <is>
          <t>Лиз Ньюджент</t>
        </is>
      </c>
      <c r="E37" t="inlineStr">
        <is>
          <t>Читаю</t>
        </is>
      </c>
      <c r="F37" t="inlineStr">
        <is>
          <t>Аудиокнига</t>
        </is>
      </c>
      <c r="K37" s="15" t="n">
        <v>46232</v>
      </c>
      <c r="L37" s="15" t="n"/>
      <c r="M37">
        <f>IF(OR(K37="",L37=""),"",MAX(1,L37-K37+1))</f>
        <v/>
      </c>
      <c r="N37" s="16" t="inlineStr">
        <is>
          <t>4.0</t>
        </is>
      </c>
      <c r="O37" t="inlineStr">
        <is>
          <t>https://avatars.mds.yandex.net/i?id=994ea5dd2c8b31973af770b74d4578af60a15e4f-8497211-images-thumbs&amp;n=13</t>
        </is>
      </c>
    </row>
    <row r="38">
      <c r="A38" t="inlineStr">
        <is>
          <t>Седьмой читатель</t>
        </is>
      </c>
      <c r="B38" t="inlineStr">
        <is>
          <t>Лэй Ми</t>
        </is>
      </c>
      <c r="C38" t="inlineStr">
        <is>
          <t>Профайлер</t>
        </is>
      </c>
      <c r="D38" t="n">
        <v>1</v>
      </c>
      <c r="E38" t="inlineStr">
        <is>
          <t>Брошено</t>
        </is>
      </c>
      <c r="F38" t="inlineStr">
        <is>
          <t>Аудиокнига</t>
        </is>
      </c>
      <c r="K38" s="15" t="n">
        <v>46249</v>
      </c>
      <c r="L38" s="15" t="n">
        <v>46249</v>
      </c>
      <c r="M38">
        <f>IF(OR(K38="",L38=""),"",MAX(1,L38-K38+1))</f>
        <v/>
      </c>
      <c r="N38" s="16" t="inlineStr">
        <is>
          <t>0.5</t>
        </is>
      </c>
      <c r="O38" t="inlineStr">
        <is>
          <t>https://avatars.mds.yandex.net/i?id=debff28b7f236794a47aacdfc4ff14ad64f34a52-5651721-images-thumbs&amp;n=13</t>
        </is>
      </c>
    </row>
    <row r="39">
      <c r="A39" t="inlineStr">
        <is>
          <t>Убийства во Флит-хаусе</t>
        </is>
      </c>
      <c r="B39" t="inlineStr">
        <is>
          <t>Люсинда Райли</t>
        </is>
      </c>
      <c r="E39" t="inlineStr">
        <is>
          <t>К прочтению</t>
        </is>
      </c>
      <c r="F39" t="inlineStr">
        <is>
          <t>Аудиокнига</t>
        </is>
      </c>
      <c r="K39" s="15" t="n"/>
      <c r="L39" s="15" t="n"/>
      <c r="M39">
        <f>IF(OR(K39="",L39=""),"",MAX(1,L39-K39+1))</f>
        <v/>
      </c>
      <c r="N39" s="16" t="n"/>
      <c r="O39" t="inlineStr">
        <is>
          <t>https://avatars.mds.yandex.net/i?id=a2d068e15a835376d884ad602b98a376fbd0b428-6017590-images-thumbs&amp;n=13</t>
        </is>
      </c>
    </row>
    <row r="40">
      <c r="A40" t="inlineStr">
        <is>
          <t>Здесь, сейчас и тогда</t>
        </is>
      </c>
      <c r="B40" t="inlineStr">
        <is>
          <t>Майк Чен</t>
        </is>
      </c>
      <c r="E40" t="inlineStr">
        <is>
          <t>Прочитано</t>
        </is>
      </c>
      <c r="F40" t="inlineStr">
        <is>
          <t>Аудиокнига</t>
        </is>
      </c>
      <c r="K40" s="15" t="n">
        <v>45868</v>
      </c>
      <c r="L40" s="15" t="n">
        <v>45868</v>
      </c>
      <c r="M40">
        <f>IF(OR(K40="",L40=""),"",MAX(1,L40-K40+1))</f>
        <v/>
      </c>
      <c r="N40" s="16" t="inlineStr">
        <is>
          <t>4.5</t>
        </is>
      </c>
      <c r="O40" t="inlineStr">
        <is>
          <t>https://avatars.mds.yandex.net/i?id=3980dabad084865e9518cfee7bdd2c72dccf6708-5504208-images-thumbs&amp;n=13</t>
        </is>
      </c>
    </row>
    <row r="41" ht="57.6" customHeight="1">
      <c r="A41" t="inlineStr">
        <is>
          <t>Как справляться с трудными ситуациями: Стресс, тревога, перемены, кризис, проблемы в отношениях</t>
        </is>
      </c>
      <c r="B41" t="inlineStr">
        <is>
          <t>Майк Эннесли</t>
        </is>
      </c>
      <c r="E41" t="inlineStr">
        <is>
          <t>К прочтению</t>
        </is>
      </c>
      <c r="F41" t="inlineStr">
        <is>
          <t>Аудиокнига</t>
        </is>
      </c>
      <c r="K41" s="15" t="n"/>
      <c r="L41" s="15" t="n"/>
      <c r="M41">
        <f>IF(OR(K41="",L41=""),"",MAX(1,L41-K41+1))</f>
        <v/>
      </c>
      <c r="N41" s="16" t="n"/>
      <c r="O41" t="inlineStr">
        <is>
          <t>https://avatars.mds.yandex.net/i?id=f6eacc713366c8de0919ce30f3ef286c7b8e0019-9181093-images-thumbs&amp;n=13</t>
        </is>
      </c>
    </row>
    <row r="42">
      <c r="A42" t="inlineStr">
        <is>
          <t>Возьми меня за руку</t>
        </is>
      </c>
      <c r="B42" t="inlineStr">
        <is>
          <t>Майкл Джеймс Форд</t>
        </is>
      </c>
      <c r="E42" t="inlineStr">
        <is>
          <t>Читаю</t>
        </is>
      </c>
      <c r="F42" t="inlineStr">
        <is>
          <t>Аудиокнига</t>
        </is>
      </c>
      <c r="K42" s="15" t="n">
        <v>46248</v>
      </c>
      <c r="L42" s="15" t="n"/>
      <c r="M42">
        <f>IF(OR(K42="",L42=""),"",MAX(1,L42-K42+1))</f>
        <v/>
      </c>
      <c r="N42" s="16" t="inlineStr">
        <is>
          <t>3.5</t>
        </is>
      </c>
      <c r="O42" t="inlineStr">
        <is>
          <t>https://avatars.mds.yandex.net/i?id=a8c1fc3b1180945116c1d24e6ec529357b447869-12487748-images-thumbs&amp;n=13</t>
        </is>
      </c>
    </row>
    <row r="43" ht="28.8" customHeight="1">
      <c r="A43" t="inlineStr">
        <is>
          <t>Ментальные привычки критически мыслящего человека</t>
        </is>
      </c>
      <c r="B43" t="inlineStr">
        <is>
          <t>Максим Киселев</t>
        </is>
      </c>
      <c r="E43" t="inlineStr">
        <is>
          <t>К прочтению</t>
        </is>
      </c>
      <c r="F43" t="inlineStr">
        <is>
          <t>Аудиокнига</t>
        </is>
      </c>
      <c r="K43" s="15" t="n"/>
      <c r="L43" s="15" t="n"/>
      <c r="M43">
        <f>IF(OR(K43="",L43=""),"",MAX(1,L43-K43+1))</f>
        <v/>
      </c>
      <c r="N43" s="16" t="n"/>
      <c r="O43" t="inlineStr">
        <is>
          <t>https://avatars.mds.yandex.net/i?id=07b88e8b5199054f908c83ef23dfe88e82afc73e-5391278-images-thumbs&amp;n=13</t>
        </is>
      </c>
    </row>
    <row r="44" ht="43.2" customHeight="1">
      <c r="A44" t="inlineStr">
        <is>
          <t>Как разговаривать с мудаками. Что делать с неадекватными и невыносимыми людьми</t>
        </is>
      </c>
      <c r="B44" t="inlineStr">
        <is>
          <t>Марк Гоулстон</t>
        </is>
      </c>
      <c r="E44" t="inlineStr">
        <is>
          <t>К прочтению</t>
        </is>
      </c>
      <c r="F44" t="inlineStr">
        <is>
          <t>Аудиокнига</t>
        </is>
      </c>
      <c r="K44" s="15" t="n"/>
      <c r="L44" s="15" t="n"/>
      <c r="M44">
        <f>IF(OR(K44="",L44=""),"",MAX(1,L44-K44+1))</f>
        <v/>
      </c>
      <c r="N44" s="16" t="n"/>
      <c r="O44" t="inlineStr">
        <is>
          <t>https://avatars.mds.yandex.net/i?id=63524b8613295bdea13cf47c3901156fadfb5d1d-5222025-images-thumbs&amp;n=13</t>
        </is>
      </c>
    </row>
    <row r="45" ht="28.8" customHeight="1">
      <c r="A45" t="inlineStr">
        <is>
          <t>Тринадцать способов убить Лалабелль Рок</t>
        </is>
      </c>
      <c r="B45" t="inlineStr">
        <is>
          <t>Мод Вулф</t>
        </is>
      </c>
      <c r="E45" t="inlineStr">
        <is>
          <t>Прочитано</t>
        </is>
      </c>
      <c r="F45" t="inlineStr">
        <is>
          <t>Аудиокнига</t>
        </is>
      </c>
      <c r="K45" s="15" t="n">
        <v>45880</v>
      </c>
      <c r="L45" s="15" t="n">
        <v>45886</v>
      </c>
      <c r="M45">
        <f>IF(OR(K45="",L45=""),"",MAX(1,L45-K45+1))</f>
        <v/>
      </c>
      <c r="N45" s="16" t="inlineStr">
        <is>
          <t>2.0</t>
        </is>
      </c>
      <c r="O45" t="inlineStr">
        <is>
          <t>https://avatars.mds.yandex.net/i?id=140693fae67062e72ca22d962fb14ead38f1a3b6-10498726-images-thumbs&amp;n=13</t>
        </is>
      </c>
    </row>
    <row r="46" ht="28.8" customHeight="1">
      <c r="A46" t="inlineStr">
        <is>
          <t>Люблю тебя, мама. Мои родители - маньяки Фред и Розмари Уэст</t>
        </is>
      </c>
      <c r="B46" t="inlineStr">
        <is>
          <t>Мэй Уэст</t>
        </is>
      </c>
      <c r="E46" t="inlineStr">
        <is>
          <t>Прочитано</t>
        </is>
      </c>
      <c r="F46" t="inlineStr">
        <is>
          <t>Аудиокнига</t>
        </is>
      </c>
      <c r="K46" s="15" t="n">
        <v>46073</v>
      </c>
      <c r="L46" s="15" t="n">
        <v>46083</v>
      </c>
      <c r="M46">
        <f>IF(OR(K46="",L46=""),"",MAX(1,L46-K46+1))</f>
        <v/>
      </c>
      <c r="N46" s="16" t="inlineStr">
        <is>
          <t>5.0</t>
        </is>
      </c>
      <c r="O46" t="inlineStr">
        <is>
          <t>https://avatars.mds.yandex.net/i?id=99875dfb8c91c39131d06cc9da1ce77f4b8ac142-9095279-images-thumbs&amp;n=13</t>
        </is>
      </c>
    </row>
    <row r="47">
      <c r="A47" t="inlineStr">
        <is>
          <t>Лгунья</t>
        </is>
      </c>
      <c r="B47" t="inlineStr">
        <is>
          <t>Натали Барелли</t>
        </is>
      </c>
      <c r="E47" t="inlineStr">
        <is>
          <t>Прочитано</t>
        </is>
      </c>
      <c r="F47" t="inlineStr">
        <is>
          <t>Аудиокнига</t>
        </is>
      </c>
      <c r="K47" s="15" t="n">
        <v>45827</v>
      </c>
      <c r="L47" s="15" t="n">
        <v>45829</v>
      </c>
      <c r="M47">
        <f>IF(OR(K47="",L47=""),"",MAX(1,L47-K47+1))</f>
        <v/>
      </c>
      <c r="N47" s="16" t="inlineStr">
        <is>
          <t>3.5</t>
        </is>
      </c>
      <c r="O47" t="inlineStr">
        <is>
          <t>https://avatars.mds.yandex.net/i?id=3c442bf188f7391faf1e7ddd86ca609d800e0b07-5568379-images-thumbs&amp;n=13</t>
        </is>
      </c>
    </row>
    <row r="48">
      <c r="A48" t="inlineStr">
        <is>
          <t>Комната лжи</t>
        </is>
      </c>
      <c r="B48" t="inlineStr">
        <is>
          <t>Никки Френч</t>
        </is>
      </c>
      <c r="E48" t="inlineStr">
        <is>
          <t>Прочитано</t>
        </is>
      </c>
      <c r="F48" t="inlineStr">
        <is>
          <t>Аудиокнига</t>
        </is>
      </c>
      <c r="K48" s="15" t="n">
        <v>46116</v>
      </c>
      <c r="L48" s="15" t="n">
        <v>46117</v>
      </c>
      <c r="M48">
        <f>IF(OR(K48="",L48=""),"",MAX(1,L48-K48+1))</f>
        <v/>
      </c>
      <c r="N48" s="16" t="inlineStr">
        <is>
          <t>5.0</t>
        </is>
      </c>
      <c r="O48" t="inlineStr">
        <is>
          <t>https://yandex-images.clstorage.net/c9TzD7370/c950f5SdP/XvSJ0qPHatwR_PVjcXwaFCU88aSKMqSjfD__rjScgoTBN9cgURJcvfCxLrfN0Sc3h0r_zuvR9cS-5c_lwalLO0PNwMuSyma1QK3dFkhMBjA1Qd3RqjO40jQTo8N4vafhsFvzJc3q3Cg5EM8jZAjO2_oK1oOm0ZWBu307uRhocn_KeCGqEzsbtHk40EsRsH5kDf3hqJbvkMosF9ZL5C3SvaX-ljmVJlD8PUj_A2BA0i8uZqJTWgCFHVPBJqnwWC5LAnzBCq9Td0BNPGgDJfRCDBEdmfxW57QiRM8md2DJOtWFRrqtAQrwOKlkZ_cknKLH3sauD6Kgmakr5U4dfGR-S24gzWK7C4dENXBoB4FsRqxtGREE2rOQnkwX2uuYFdJt4WbefT0eEMhxeD9v1JBCi_6SiseCjPGNr6US_Zgggi_-gLHOu-dHQDWovJdBMJKkkUX1yJZnoFZQs17fJMHaEQ2CquH9ggSABXQXZ3BAAsOSIlKHEiwNcfulInHALPLf-nAVugOHu3D13Ixj2fTCJAnF_Vz6x9SySC9O97BpzrVdFhrV0bpEzA1wo6N0uEI3RqJ-m2Kc7U3ntR4NnEwqP76IaQZz0-eMLfSIA0UcAmxxfU3UsvswmiRfRnvI3a6FPWKi2Q1y_MSRZN8zlJACR7Yyovd6_PWBp51eHYDMss8WnN3iO0-jJBlQIBdV8GbkOWVRFBqjMA7Mj0JTFLVqkY3K5rHpunyQCQi3XwBY-uf6RuIj9oxxBatVLpnY3ILjmsipWsPTwwQ99FyHgeC2EGUdVdA6VzAqFBPqTzSxWrXBRrIprXaMMOUsXzdEVH6nXpqG1wZwGVXL0X6ZXBg-48psmaa3Zwd84QwwH6lsJjAVzcGQUnswRli3ZpMwjbZl7XICzRUOcLTxvJd_bChmQ76iTq_m_BlNsyXCAZCgshNuGJE-hyMjxOW8gO8Z8GYgOZV9EJI7MI4ENzYDnMnc</t>
        </is>
      </c>
    </row>
    <row r="49" ht="28.8" customHeight="1">
      <c r="A49" t="inlineStr">
        <is>
          <t>Четыре тысячи недель на всё: Меньше планов - больше жизни</t>
        </is>
      </c>
      <c r="B49" t="inlineStr">
        <is>
          <t>Оливер Беркман</t>
        </is>
      </c>
      <c r="E49" t="inlineStr">
        <is>
          <t>К прочтению</t>
        </is>
      </c>
      <c r="F49" t="inlineStr">
        <is>
          <t>Аудиокнига</t>
        </is>
      </c>
      <c r="K49" s="15" t="n"/>
      <c r="L49" s="15" t="n"/>
      <c r="M49">
        <f>IF(OR(K49="",L49=""),"",MAX(1,L49-K49+1))</f>
        <v/>
      </c>
      <c r="N49" s="16" t="n"/>
      <c r="O49" t="inlineStr">
        <is>
          <t>https://avatars.mds.yandex.net/i?id=3998e13f0d2e293d3a16e305a455f2248ac9249f-9852364-images-thumbs&amp;n=13</t>
        </is>
      </c>
    </row>
    <row r="50" ht="28.8" customHeight="1">
      <c r="A50" t="inlineStr">
        <is>
          <t>Однажды я стала принцессой. Том 1. Манхва</t>
        </is>
      </c>
      <c r="B50" t="inlineStr">
        <is>
          <t>Плутос</t>
        </is>
      </c>
      <c r="C50" t="inlineStr">
        <is>
          <t>Однажды я стала принцессой</t>
        </is>
      </c>
      <c r="D50" t="n">
        <v>1</v>
      </c>
      <c r="E50" t="inlineStr">
        <is>
          <t>Прочитано</t>
        </is>
      </c>
      <c r="F50" t="inlineStr">
        <is>
          <t>Комикс</t>
        </is>
      </c>
      <c r="K50" s="15" t="n">
        <v>45858</v>
      </c>
      <c r="L50" s="15" t="n">
        <v>45858</v>
      </c>
      <c r="M50">
        <f>IF(OR(K50="",L50=""),"",MAX(1,L50-K50+1))</f>
        <v/>
      </c>
      <c r="N50" s="16" t="inlineStr">
        <is>
          <t>1.5</t>
        </is>
      </c>
      <c r="O50" t="inlineStr">
        <is>
          <t>https://avatars.mds.yandex.net/i?id=cb1f720341f1f9d441855446893bba86c1f68ff9-5487333-images-thumbs&amp;n=13</t>
        </is>
      </c>
    </row>
    <row r="51">
      <c r="A51" t="inlineStr">
        <is>
          <t>Ресторан 06:06:06</t>
        </is>
      </c>
      <c r="B51" t="inlineStr">
        <is>
          <t>Пом Ю Джин</t>
        </is>
      </c>
      <c r="E51" t="inlineStr">
        <is>
          <t>Прочитано</t>
        </is>
      </c>
      <c r="F51" t="inlineStr">
        <is>
          <t>Аудиокнига</t>
        </is>
      </c>
      <c r="K51" s="15" t="n">
        <v>46055</v>
      </c>
      <c r="L51" s="15" t="n">
        <v>46091</v>
      </c>
      <c r="M51">
        <f>IF(OR(K51="",L51=""),"",MAX(1,L51-K51+1))</f>
        <v/>
      </c>
      <c r="N51" s="16" t="inlineStr">
        <is>
          <t>5.0</t>
        </is>
      </c>
      <c r="O51" t="inlineStr">
        <is>
          <t>https://avatars.mds.yandex.net/i?id=bf4cd3bfd860174ed924489cb4fca59ead1374b9-5213696-images-thumbs&amp;n=13</t>
        </is>
      </c>
    </row>
    <row r="52">
      <c r="A52" t="inlineStr">
        <is>
          <t>Четвертое крыло</t>
        </is>
      </c>
      <c r="B52" t="inlineStr">
        <is>
          <t>Ребекка Яррос</t>
        </is>
      </c>
      <c r="C52" t="inlineStr">
        <is>
          <t>Эмпирей</t>
        </is>
      </c>
      <c r="D52" t="n">
        <v>1</v>
      </c>
      <c r="E52" t="inlineStr">
        <is>
          <t>Прочитано</t>
        </is>
      </c>
      <c r="F52" t="inlineStr">
        <is>
          <t>Аудиокнига</t>
        </is>
      </c>
      <c r="H52" t="n">
        <v>22</v>
      </c>
      <c r="K52" s="15" t="n">
        <v>46170</v>
      </c>
      <c r="L52" s="15" t="n">
        <v>46176</v>
      </c>
      <c r="M52">
        <f>IF(OR(K52="",L52=""),"",MAX(1,L52-K52+1))</f>
        <v/>
      </c>
      <c r="N52" s="16" t="inlineStr">
        <is>
          <t>5.0</t>
        </is>
      </c>
      <c r="O52" t="inlineStr">
        <is>
          <t>https://avatars.mds.yandex.net/i?id=93325effc3188ab571116816468c470d8370bb58-7083384-images-thumbs&amp;n=13</t>
        </is>
      </c>
    </row>
    <row r="53">
      <c r="A53" t="inlineStr">
        <is>
          <t>Железное пламя</t>
        </is>
      </c>
      <c r="B53" t="inlineStr">
        <is>
          <t>Ребекка Яррос</t>
        </is>
      </c>
      <c r="C53" t="inlineStr">
        <is>
          <t>Эмпирей</t>
        </is>
      </c>
      <c r="D53" t="n">
        <v>2</v>
      </c>
      <c r="E53" t="inlineStr">
        <is>
          <t>Читаю</t>
        </is>
      </c>
      <c r="F53" t="inlineStr">
        <is>
          <t>Аудиокнига</t>
        </is>
      </c>
      <c r="H53" t="n">
        <v>31</v>
      </c>
      <c r="K53" s="15" t="n">
        <v>46175</v>
      </c>
      <c r="L53" s="15" t="n"/>
      <c r="M53">
        <f>IF(OR(K53="",L53=""),"",MAX(1,L53-K53+1))</f>
        <v/>
      </c>
      <c r="N53" s="16" t="inlineStr">
        <is>
          <t>0.0</t>
        </is>
      </c>
      <c r="O53" t="inlineStr">
        <is>
          <t>https://avatars.mds.yandex.net/i?id=455e68933ead74ab0be8599875b2195f4c9e0e6b-5179294-images-thumbs&amp;n=13</t>
        </is>
      </c>
    </row>
    <row r="54">
      <c r="A54" t="inlineStr">
        <is>
          <t>Ониксовый шторм</t>
        </is>
      </c>
      <c r="B54" t="inlineStr">
        <is>
          <t>Ребекка Яррос</t>
        </is>
      </c>
      <c r="C54" t="inlineStr">
        <is>
          <t>Эмпирей</t>
        </is>
      </c>
      <c r="D54" t="n">
        <v>3</v>
      </c>
      <c r="E54" t="inlineStr">
        <is>
          <t>К прочтению</t>
        </is>
      </c>
      <c r="F54" t="inlineStr">
        <is>
          <t>Аудиокнига</t>
        </is>
      </c>
      <c r="H54" t="n">
        <v>25.5</v>
      </c>
      <c r="K54" s="15" t="n"/>
      <c r="L54" s="15" t="n"/>
      <c r="M54">
        <f>IF(OR(K54="",L54=""),"",MAX(1,L54-K54+1))</f>
        <v/>
      </c>
      <c r="N54" s="16" t="n"/>
      <c r="O54" t="inlineStr">
        <is>
          <t>https://avatars.mds.yandex.net/i?id=a3a382fe1bd4f18532ffcb5481c1ede24dbf4296-5330388-images-thumbs&amp;n=13</t>
        </is>
      </c>
    </row>
    <row r="55">
      <c r="A55" t="inlineStr">
        <is>
          <t>Человек-комбини</t>
        </is>
      </c>
      <c r="B55" t="inlineStr">
        <is>
          <t>Саяка Мурата</t>
        </is>
      </c>
      <c r="E55" t="inlineStr">
        <is>
          <t>Прочитано</t>
        </is>
      </c>
      <c r="F55" t="inlineStr">
        <is>
          <t>Аудиокнига</t>
        </is>
      </c>
      <c r="K55" s="15" t="n">
        <v>45811</v>
      </c>
      <c r="L55" s="15" t="n">
        <v>45880</v>
      </c>
      <c r="M55">
        <f>IF(OR(K55="",L55=""),"",MAX(1,L55-K55+1))</f>
        <v/>
      </c>
      <c r="N55" s="16" t="inlineStr">
        <is>
          <t>5.0</t>
        </is>
      </c>
      <c r="O55" t="inlineStr">
        <is>
          <t>https://avatars.mds.yandex.net/i?id=1a491ad8492c1a13146e9287fc86d8545963eb72-7213677-images-thumbs&amp;n=13</t>
        </is>
      </c>
    </row>
    <row r="56">
      <c r="A56" t="inlineStr">
        <is>
          <t>Земляноиды</t>
        </is>
      </c>
      <c r="B56" t="inlineStr">
        <is>
          <t>Саяка Мурата</t>
        </is>
      </c>
      <c r="E56" t="inlineStr">
        <is>
          <t>Прочитано</t>
        </is>
      </c>
      <c r="F56" t="inlineStr">
        <is>
          <t>Аудиокнига</t>
        </is>
      </c>
      <c r="K56" s="15" t="n">
        <v>45886</v>
      </c>
      <c r="L56" s="15" t="n">
        <v>45888</v>
      </c>
      <c r="M56">
        <f>IF(OR(K56="",L56=""),"",MAX(1,L56-K56+1))</f>
        <v/>
      </c>
      <c r="N56" s="16" t="inlineStr">
        <is>
          <t>5.0</t>
        </is>
      </c>
      <c r="O56" t="inlineStr">
        <is>
          <t>https://avatars.mds.yandex.net/i?id=a7c1f00e5c6b64177377a53ff2b617f3f6326206-5873158-images-thumbs&amp;n=13</t>
        </is>
      </c>
    </row>
    <row r="57">
      <c r="A57" t="inlineStr">
        <is>
          <t>Церемония жизни</t>
        </is>
      </c>
      <c r="B57" t="inlineStr">
        <is>
          <t>Саяка Мурата</t>
        </is>
      </c>
      <c r="E57" t="inlineStr">
        <is>
          <t>Прочитано</t>
        </is>
      </c>
      <c r="F57" t="inlineStr">
        <is>
          <t>Аудиокнига</t>
        </is>
      </c>
      <c r="K57" s="15" t="n">
        <v>45888</v>
      </c>
      <c r="L57" s="15" t="n">
        <v>45890</v>
      </c>
      <c r="M57">
        <f>IF(OR(K57="",L57=""),"",MAX(1,L57-K57+1))</f>
        <v/>
      </c>
      <c r="N57" s="16" t="inlineStr">
        <is>
          <t>5.0</t>
        </is>
      </c>
      <c r="O57" t="inlineStr">
        <is>
          <t>https://avatars.mds.yandex.net/i?id=6b77fcf08dab3ba32dc7a409089dba07cba41690-12316895-images-thumbs&amp;n=13</t>
        </is>
      </c>
    </row>
    <row r="58">
      <c r="A58" t="inlineStr">
        <is>
          <t>Дорогуша</t>
        </is>
      </c>
      <c r="B58" t="inlineStr">
        <is>
          <t>Си Джей Скьюз</t>
        </is>
      </c>
      <c r="C58" t="inlineStr">
        <is>
          <t>Дорогуша</t>
        </is>
      </c>
      <c r="D58" t="n">
        <v>1</v>
      </c>
      <c r="E58" t="inlineStr">
        <is>
          <t>Прочитано</t>
        </is>
      </c>
      <c r="F58" t="inlineStr">
        <is>
          <t>Аудиокнига</t>
        </is>
      </c>
      <c r="K58" s="15" t="n">
        <v>45852</v>
      </c>
      <c r="L58" s="15" t="n">
        <v>45858</v>
      </c>
      <c r="M58">
        <f>IF(OR(K58="",L58=""),"",MAX(1,L58-K58+1))</f>
        <v/>
      </c>
      <c r="N58" s="16" t="inlineStr">
        <is>
          <t>5.0</t>
        </is>
      </c>
      <c r="O58" t="inlineStr">
        <is>
          <t>https://avatars.mds.yandex.net/i?id=f2b1c1903cb86df23906d72d3e04a951a1f516c9-3643797-images-thumbs&amp;n=13</t>
        </is>
      </c>
    </row>
    <row r="59">
      <c r="A59" t="inlineStr">
        <is>
          <t>Дорогуша: Рассвет</t>
        </is>
      </c>
      <c r="B59" t="inlineStr">
        <is>
          <t>Си Джей Скьюз</t>
        </is>
      </c>
      <c r="C59" t="inlineStr">
        <is>
          <t>Дорогуша</t>
        </is>
      </c>
      <c r="D59" t="n">
        <v>2</v>
      </c>
      <c r="E59" t="inlineStr">
        <is>
          <t>Прочитано</t>
        </is>
      </c>
      <c r="F59" t="inlineStr">
        <is>
          <t>Аудиокнига</t>
        </is>
      </c>
      <c r="K59" s="15" t="n">
        <v>46046</v>
      </c>
      <c r="L59" s="15" t="n">
        <v>46050</v>
      </c>
      <c r="M59">
        <f>IF(OR(K59="",L59=""),"",MAX(1,L59-K59+1))</f>
        <v/>
      </c>
      <c r="N59" s="16" t="inlineStr">
        <is>
          <t>5.0</t>
        </is>
      </c>
      <c r="O59" t="inlineStr">
        <is>
          <t>https://avatars.mds.yandex.net/i?id=7f4db030fd0ba20402ee8f4a9fda1e7278aa36e5-5362289-images-thumbs&amp;n=13</t>
        </is>
      </c>
    </row>
    <row r="60">
      <c r="A60" t="inlineStr">
        <is>
          <t>Судный день</t>
        </is>
      </c>
      <c r="B60" t="inlineStr">
        <is>
          <t>Стив Кавана</t>
        </is>
      </c>
      <c r="C60" t="inlineStr">
        <is>
          <t>Эдди Флинн</t>
        </is>
      </c>
      <c r="D60" t="n">
        <v>6</v>
      </c>
      <c r="E60" t="inlineStr">
        <is>
          <t>Брошено</t>
        </is>
      </c>
      <c r="F60" t="inlineStr">
        <is>
          <t>Аудиокнига</t>
        </is>
      </c>
      <c r="K60" s="15" t="n">
        <v>46058</v>
      </c>
      <c r="L60" s="15" t="n">
        <v>46061</v>
      </c>
      <c r="M60">
        <f>IF(OR(K60="",L60=""),"",MAX(1,L60-K60+1))</f>
        <v/>
      </c>
      <c r="N60" s="16" t="inlineStr">
        <is>
          <t>1.5</t>
        </is>
      </c>
      <c r="O60" t="inlineStr">
        <is>
          <t>https://avatars.mds.yandex.net/i?id=756976539aeb66632c8d0a7ac18decca1c466ee8-5887629-images-thumbs&amp;n=13</t>
        </is>
      </c>
    </row>
    <row r="61">
      <c r="A61" t="inlineStr">
        <is>
          <t>Пятьдесят на пятьдесят</t>
        </is>
      </c>
      <c r="B61" t="inlineStr">
        <is>
          <t>Стив Кавана</t>
        </is>
      </c>
      <c r="C61" t="inlineStr">
        <is>
          <t>Эдди Флинн</t>
        </is>
      </c>
      <c r="D61" t="n">
        <v>5</v>
      </c>
      <c r="E61" t="inlineStr">
        <is>
          <t>Прочитано</t>
        </is>
      </c>
      <c r="F61" t="inlineStr">
        <is>
          <t>Аудиокнига</t>
        </is>
      </c>
      <c r="K61" s="15" t="n">
        <v>45968</v>
      </c>
      <c r="L61" s="15" t="n">
        <v>46083</v>
      </c>
      <c r="M61">
        <f>IF(OR(K61="",L61=""),"",MAX(1,L61-K61+1))</f>
        <v/>
      </c>
      <c r="N61" s="16" t="inlineStr">
        <is>
          <t>4.5</t>
        </is>
      </c>
      <c r="O61" t="inlineStr">
        <is>
          <t>https://avatars.mds.yandex.net/i?id=6b2cb09d355fb14e22db1a32b63576a6885d909c-5485332-images-thumbs&amp;n=13</t>
        </is>
      </c>
    </row>
    <row r="62">
      <c r="A62" t="inlineStr">
        <is>
          <t>Когда поют цикады</t>
        </is>
      </c>
      <c r="B62" t="inlineStr">
        <is>
          <t>Стивен Амидон</t>
        </is>
      </c>
      <c r="E62" t="inlineStr">
        <is>
          <t>Прочитано</t>
        </is>
      </c>
      <c r="F62" t="inlineStr">
        <is>
          <t>Аудиокнига</t>
        </is>
      </c>
      <c r="K62" s="15" t="n">
        <v>46040</v>
      </c>
      <c r="L62" s="15" t="n">
        <v>46045</v>
      </c>
      <c r="M62">
        <f>IF(OR(K62="",L62=""),"",MAX(1,L62-K62+1))</f>
        <v/>
      </c>
      <c r="N62" s="16" t="inlineStr">
        <is>
          <t>4.5</t>
        </is>
      </c>
      <c r="O62" t="inlineStr">
        <is>
          <t>https://avatars.mds.yandex.net/i?id=6ecb87804c8eae4b7fb07f8ddd9c891fba81b7ef-5287703-images-thumbs&amp;n=13</t>
        </is>
      </c>
    </row>
    <row r="63">
      <c r="A63" t="inlineStr">
        <is>
          <t>Рассвет Жатвы</t>
        </is>
      </c>
      <c r="B63" t="inlineStr">
        <is>
          <t>Сьюзен Коллинз</t>
        </is>
      </c>
      <c r="C63" t="inlineStr">
        <is>
          <t>Голодные игры</t>
        </is>
      </c>
      <c r="D63" t="n">
        <v>5</v>
      </c>
      <c r="E63" t="inlineStr">
        <is>
          <t>Прочитано</t>
        </is>
      </c>
      <c r="F63" t="inlineStr">
        <is>
          <t>Аудиокнига</t>
        </is>
      </c>
      <c r="K63" s="15" t="n">
        <v>45883</v>
      </c>
      <c r="L63" s="15" t="n">
        <v>45887</v>
      </c>
      <c r="M63">
        <f>IF(OR(K63="",L63=""),"",MAX(1,L63-K63+1))</f>
        <v/>
      </c>
      <c r="N63" s="16" t="inlineStr">
        <is>
          <t>5.0</t>
        </is>
      </c>
      <c r="O63" t="inlineStr">
        <is>
          <t>https://avatars.mds.yandex.net/i?id=74adc7ce3efd79a46da712d81445f747f290941a-5276461-images-thumbs&amp;n=13</t>
        </is>
      </c>
    </row>
    <row r="64">
      <c r="A64" t="inlineStr">
        <is>
          <t>Голос Вессема</t>
        </is>
      </c>
      <c r="B64" t="inlineStr">
        <is>
          <t>Теа Сандет</t>
        </is>
      </c>
      <c r="C64" t="inlineStr">
        <is>
          <t>Голос Вессема</t>
        </is>
      </c>
      <c r="D64" t="n">
        <v>1</v>
      </c>
      <c r="E64" t="inlineStr">
        <is>
          <t>Прочитано</t>
        </is>
      </c>
      <c r="F64" t="inlineStr">
        <is>
          <t>Аудиокнига</t>
        </is>
      </c>
      <c r="K64" s="15" t="n">
        <v>46126</v>
      </c>
      <c r="L64" s="15" t="n">
        <v>46136</v>
      </c>
      <c r="M64">
        <f>IF(OR(K64="",L64=""),"",MAX(1,L64-K64+1))</f>
        <v/>
      </c>
      <c r="N64" s="16" t="inlineStr">
        <is>
          <t>5.0</t>
        </is>
      </c>
      <c r="O64" t="inlineStr">
        <is>
          <t>https://avatars.mds.yandex.net/i?id=ad287631873843bc129d82bdd5a4354ceb20df1d-10197150-images-thumbs&amp;n=13</t>
        </is>
      </c>
    </row>
    <row r="65">
      <c r="A65" t="inlineStr">
        <is>
          <t>Голос Вессема. Радиомолчание</t>
        </is>
      </c>
      <c r="B65" t="inlineStr">
        <is>
          <t>Теа Сандет</t>
        </is>
      </c>
      <c r="C65" t="inlineStr">
        <is>
          <t>Голос Вессема</t>
        </is>
      </c>
      <c r="D65" t="n">
        <v>2</v>
      </c>
      <c r="E65" t="inlineStr">
        <is>
          <t>Прочитано</t>
        </is>
      </c>
      <c r="F65" t="inlineStr">
        <is>
          <t>Аудиокнига</t>
        </is>
      </c>
      <c r="K65" s="15" t="n">
        <v>46132</v>
      </c>
      <c r="L65" s="15" t="n">
        <v>46136</v>
      </c>
      <c r="M65">
        <f>IF(OR(K65="",L65=""),"",MAX(1,L65-K65+1))</f>
        <v/>
      </c>
      <c r="N65" s="16" t="inlineStr">
        <is>
          <t>4.5</t>
        </is>
      </c>
      <c r="O65" t="inlineStr">
        <is>
          <t>https://avatars.mds.yandex.net/i?id=23ec82ea37159b7963cb01894c1184a1735814cd-11920434-images-thumbs&amp;n=13</t>
        </is>
      </c>
    </row>
    <row r="66">
      <c r="A66" t="inlineStr">
        <is>
          <t>Бог в запертой комнате</t>
        </is>
      </c>
      <c r="B66" t="inlineStr">
        <is>
          <t>Томоюки Сираи</t>
        </is>
      </c>
      <c r="E66" t="inlineStr">
        <is>
          <t>К прочтению</t>
        </is>
      </c>
      <c r="F66" t="inlineStr">
        <is>
          <t>Аудиокнига</t>
        </is>
      </c>
      <c r="K66" s="15" t="n"/>
      <c r="L66" s="15" t="n"/>
      <c r="M66">
        <f>IF(OR(K66="",L66=""),"",MAX(1,L66-K66+1))</f>
        <v/>
      </c>
      <c r="N66" s="16" t="n"/>
      <c r="O66" t="inlineStr">
        <is>
          <t>https://avatars.mds.yandex.net/i?id=45f7eab43d651c0715b069f52e9fca4a106e3efb-5858325-images-thumbs&amp;n=13</t>
        </is>
      </c>
    </row>
    <row r="67">
      <c r="A67" t="inlineStr">
        <is>
          <t>Шмуц</t>
        </is>
      </c>
      <c r="B67" t="inlineStr">
        <is>
          <t>Фелиция Берлинер</t>
        </is>
      </c>
      <c r="E67" t="inlineStr">
        <is>
          <t>К прочтению</t>
        </is>
      </c>
      <c r="F67" t="inlineStr">
        <is>
          <t>Аудиокнига</t>
        </is>
      </c>
      <c r="K67" s="15" t="n"/>
      <c r="L67" s="15" t="n"/>
      <c r="M67">
        <f>IF(OR(K67="",L67=""),"",MAX(1,L67-K67+1))</f>
        <v/>
      </c>
      <c r="N67" s="16" t="n"/>
      <c r="O67" t="inlineStr">
        <is>
          <t>https://avatars.mds.yandex.net/i?id=e63a19689d22631f06e3d121548a3d3402d4b5c9-10411335-images-thumbs&amp;n=13</t>
        </is>
      </c>
    </row>
    <row r="68">
      <c r="A68" t="inlineStr">
        <is>
          <t>Здесь была Брит-Мари</t>
        </is>
      </c>
      <c r="B68" t="inlineStr">
        <is>
          <t>Фредрик Бакман</t>
        </is>
      </c>
      <c r="E68" t="inlineStr">
        <is>
          <t>Прочитано</t>
        </is>
      </c>
      <c r="F68" t="inlineStr">
        <is>
          <t>Аудиокнига</t>
        </is>
      </c>
      <c r="K68" s="15" t="n">
        <v>45873</v>
      </c>
      <c r="L68" s="15" t="n">
        <v>45876</v>
      </c>
      <c r="M68">
        <f>IF(OR(K68="",L68=""),"",MAX(1,L68-K68+1))</f>
        <v/>
      </c>
      <c r="N68" s="16" t="inlineStr">
        <is>
          <t>5.0</t>
        </is>
      </c>
      <c r="O68" t="inlineStr">
        <is>
          <t>https://avatars.mds.yandex.net/get-mpic/12529549/2a0000019bde747d32295a66f006562c75ca/orig</t>
        </is>
      </c>
    </row>
    <row r="69">
      <c r="A69" t="inlineStr">
        <is>
          <t>Милое дитя</t>
        </is>
      </c>
      <c r="B69" t="inlineStr">
        <is>
          <t>Хаусманн Роми</t>
        </is>
      </c>
      <c r="E69" t="inlineStr">
        <is>
          <t>Прочитано</t>
        </is>
      </c>
      <c r="F69" t="inlineStr">
        <is>
          <t>Аудиокнига</t>
        </is>
      </c>
      <c r="K69" s="15" t="n">
        <v>46032</v>
      </c>
      <c r="L69" s="15" t="n">
        <v>46035</v>
      </c>
      <c r="M69">
        <f>IF(OR(K69="",L69=""),"",MAX(1,L69-K69+1))</f>
        <v/>
      </c>
      <c r="N69" s="16" t="inlineStr">
        <is>
          <t>4.0</t>
        </is>
      </c>
      <c r="O69" t="inlineStr">
        <is>
          <t>https://avatars.mds.yandex.net/i?id=09b05dafa8c2839f2b43ef0fae2028d5996946fe-5526617-images-thumbs&amp;n=13</t>
        </is>
      </c>
    </row>
    <row r="70" ht="28.8" customHeight="1">
      <c r="A70" t="inlineStr">
        <is>
          <t>Фрекен Мод задумала что-то недоброе</t>
        </is>
      </c>
      <c r="B70" t="inlineStr">
        <is>
          <t>Хелена Турстен</t>
        </is>
      </c>
      <c r="C70" t="inlineStr">
        <is>
          <t>Фрекен Мод</t>
        </is>
      </c>
      <c r="D70" t="n">
        <v>1</v>
      </c>
      <c r="E70" t="inlineStr">
        <is>
          <t>Читаю</t>
        </is>
      </c>
      <c r="F70" t="inlineStr">
        <is>
          <t>Аудиокнига</t>
        </is>
      </c>
      <c r="K70" s="15" t="n">
        <v>46050</v>
      </c>
      <c r="L70" s="15" t="n"/>
      <c r="M70">
        <f>IF(OR(K70="",L70=""),"",MAX(1,L70-K70+1))</f>
        <v/>
      </c>
      <c r="N70" s="16" t="inlineStr">
        <is>
          <t>0.0</t>
        </is>
      </c>
      <c r="O70" t="inlineStr">
        <is>
          <t>https://avatars.mds.yandex.net/i?id=2fd632677277052ad295b33af6a63fca400a10bf-12544206-images-thumbs&amp;n=13</t>
        </is>
      </c>
    </row>
    <row r="71" ht="28.8" customHeight="1">
      <c r="A71" t="inlineStr">
        <is>
          <t>Фрекен Мод просила ее не беспокоить</t>
        </is>
      </c>
      <c r="B71" t="inlineStr">
        <is>
          <t>Хелена Турстен</t>
        </is>
      </c>
      <c r="C71" t="inlineStr">
        <is>
          <t>Фрекен Мод</t>
        </is>
      </c>
      <c r="D71" t="n">
        <v>2</v>
      </c>
      <c r="E71" t="inlineStr">
        <is>
          <t>К прочтению</t>
        </is>
      </c>
      <c r="F71" t="inlineStr">
        <is>
          <t>Аудиокнига</t>
        </is>
      </c>
      <c r="K71" s="15" t="n"/>
      <c r="L71" s="15" t="n"/>
      <c r="M71">
        <f>IF(OR(K71="",L71=""),"",MAX(1,L71-K71+1))</f>
        <v/>
      </c>
      <c r="N71" s="16" t="n"/>
      <c r="O71" t="inlineStr">
        <is>
          <t>https://avatars.mds.yandex.net/i?id=9770e99a54f2d624ce0c719a11b54056918bb5a7-5218274-images-thumbs&amp;n=13</t>
        </is>
      </c>
    </row>
    <row r="72">
      <c r="A72" t="inlineStr">
        <is>
          <t>Вторая сестра</t>
        </is>
      </c>
      <c r="B72" t="inlineStr">
        <is>
          <t>Хо-Кей Чан</t>
        </is>
      </c>
      <c r="E72" t="inlineStr">
        <is>
          <t>К прочтению</t>
        </is>
      </c>
      <c r="F72" t="inlineStr">
        <is>
          <t>Аудиокнига</t>
        </is>
      </c>
      <c r="K72" s="15" t="n"/>
      <c r="L72" s="15" t="n"/>
      <c r="M72">
        <f>IF(OR(K72="",L72=""),"",MAX(1,L72-K72+1))</f>
        <v/>
      </c>
      <c r="N72" s="16" t="n"/>
      <c r="O72" t="inlineStr">
        <is>
          <t>https://avatars.mds.yandex.net/i?id=132091e47f548f9a8b9e9a6b34a4e85e0f5859fb-5884226-images-thumbs&amp;n=13</t>
        </is>
      </c>
    </row>
    <row r="73">
      <c r="A73" t="inlineStr">
        <is>
          <t>Немая улика</t>
        </is>
      </c>
      <c r="B73" t="inlineStr">
        <is>
          <t>Цинь Мин</t>
        </is>
      </c>
      <c r="E73" t="inlineStr">
        <is>
          <t>Брошено</t>
        </is>
      </c>
      <c r="F73" t="inlineStr">
        <is>
          <t>Аудиокнига</t>
        </is>
      </c>
      <c r="K73" s="15" t="n">
        <v>46036</v>
      </c>
      <c r="L73" s="15" t="n">
        <v>46037</v>
      </c>
      <c r="M73">
        <f>IF(OR(K73="",L73=""),"",MAX(1,L73-K73+1))</f>
        <v/>
      </c>
      <c r="N73" s="16" t="inlineStr">
        <is>
          <t>2.0</t>
        </is>
      </c>
      <c r="O73" t="inlineStr">
        <is>
          <t>https://avatars.mds.yandex.net/i?id=04de32861c4ded739cae83c6264aac2425731622-10696380-images-thumbs&amp;n=13</t>
        </is>
      </c>
    </row>
    <row r="74">
      <c r="A74" t="inlineStr">
        <is>
          <t>Фотостудия «Радуга»</t>
        </is>
      </c>
      <c r="B74" t="inlineStr">
        <is>
          <t>Чжэхи Ким</t>
        </is>
      </c>
      <c r="E74" t="inlineStr">
        <is>
          <t>Прочитано</t>
        </is>
      </c>
      <c r="F74" t="inlineStr">
        <is>
          <t>Аудиокнига</t>
        </is>
      </c>
      <c r="K74" s="15" t="n">
        <v>46062</v>
      </c>
      <c r="L74" s="15" t="n">
        <v>46091</v>
      </c>
      <c r="M74">
        <f>IF(OR(K74="",L74=""),"",MAX(1,L74-K74+1))</f>
        <v/>
      </c>
      <c r="N74" s="16" t="inlineStr">
        <is>
          <t>4.0</t>
        </is>
      </c>
      <c r="O74" t="inlineStr">
        <is>
          <t>https://avatars.mds.yandex.net/i?id=70ffffa702387e001220ca5953f3fdd51ece2e05-4012020-images-thumbs&amp;n=13</t>
        </is>
      </c>
    </row>
    <row r="75">
      <c r="A75" t="inlineStr">
        <is>
          <t>Месть женщины среднего возраста</t>
        </is>
      </c>
      <c r="B75" t="inlineStr">
        <is>
          <t>Элизабет Бушан</t>
        </is>
      </c>
      <c r="E75" t="inlineStr">
        <is>
          <t>Брошено</t>
        </is>
      </c>
      <c r="F75" t="inlineStr">
        <is>
          <t>Аудиокнига</t>
        </is>
      </c>
      <c r="K75" s="15" t="n">
        <v>45876</v>
      </c>
      <c r="L75" s="15" t="n">
        <v>45876</v>
      </c>
      <c r="M75">
        <f>IF(OR(K75="",L75=""),"",MAX(1,L75-K75+1))</f>
        <v/>
      </c>
      <c r="N75" s="16" t="inlineStr">
        <is>
          <t>1.5</t>
        </is>
      </c>
      <c r="O75" t="inlineStr">
        <is>
          <t>https://avatars.mds.yandex.net/i?id=0eeb74240662ecb3e7af3e5108b7e8b7ed5f346e-5232818-images-thumbs&amp;n=13</t>
        </is>
      </c>
    </row>
    <row r="76">
      <c r="A76" t="inlineStr">
        <is>
          <t>Моя соседка фрау Морман</t>
        </is>
      </c>
      <c r="B76" t="inlineStr">
        <is>
          <t>Эльке Хайденрайх</t>
        </is>
      </c>
      <c r="E76" t="inlineStr">
        <is>
          <t>Прочитано</t>
        </is>
      </c>
      <c r="F76" t="inlineStr">
        <is>
          <t>Аудиокнига</t>
        </is>
      </c>
      <c r="K76" s="15" t="n">
        <v>45886</v>
      </c>
      <c r="L76" s="15" t="n">
        <v>45886</v>
      </c>
      <c r="M76">
        <f>IF(OR(K76="",L76=""),"",MAX(1,L76-K76+1))</f>
        <v/>
      </c>
      <c r="N76" s="16" t="inlineStr">
        <is>
          <t>4.5</t>
        </is>
      </c>
      <c r="O76" t="inlineStr">
        <is>
          <t>https://avatars.mds.yandex.net/i?id=7345a0066309c4b1dd05825f8b273cd429b75e0f-16409040-images-thumbs&amp;n=13</t>
        </is>
      </c>
    </row>
    <row r="77">
      <c r="A77" t="inlineStr">
        <is>
          <t>Гостья</t>
        </is>
      </c>
      <c r="B77" t="inlineStr">
        <is>
          <t>Эмма Клайн</t>
        </is>
      </c>
      <c r="E77" t="inlineStr">
        <is>
          <t>Прочитано</t>
        </is>
      </c>
      <c r="F77" t="inlineStr">
        <is>
          <t>Аудиокнига</t>
        </is>
      </c>
      <c r="K77" s="15" t="n">
        <v>45880</v>
      </c>
      <c r="L77" s="15" t="n">
        <v>45880</v>
      </c>
      <c r="M77">
        <f>IF(OR(K77="",L77=""),"",MAX(1,L77-K77+1))</f>
        <v/>
      </c>
      <c r="N77" s="16" t="inlineStr">
        <is>
          <t>2.5</t>
        </is>
      </c>
      <c r="O77" t="inlineStr">
        <is>
          <t>https://avatars.mds.yandex.net/i?id=c2d21a64363e85f90f7e6add55551306709076a9-12911692-images-thumbs&amp;n=13</t>
        </is>
      </c>
    </row>
    <row r="78">
      <c r="A78" t="inlineStr">
        <is>
          <t>Препараторы. Зов ястреба</t>
        </is>
      </c>
      <c r="B78" t="inlineStr">
        <is>
          <t>Яна Летт</t>
        </is>
      </c>
      <c r="C78" t="inlineStr">
        <is>
          <t>Препараторы</t>
        </is>
      </c>
      <c r="D78" t="n">
        <v>1</v>
      </c>
      <c r="E78" t="inlineStr">
        <is>
          <t>Брошено</t>
        </is>
      </c>
      <c r="F78" t="inlineStr">
        <is>
          <t>Аудиокнига</t>
        </is>
      </c>
      <c r="K78" s="15" t="n">
        <v>46117</v>
      </c>
      <c r="L78" s="15" t="n">
        <v>46117</v>
      </c>
      <c r="M78">
        <f>IF(OR(K78="",L78=""),"",MAX(1,L78-K78+1))</f>
        <v/>
      </c>
      <c r="N78" s="16" t="inlineStr">
        <is>
          <t>2.5</t>
        </is>
      </c>
      <c r="O78" t="inlineStr">
        <is>
          <t>https://avatars.mds.yandex.net/i?id=b99b47a52241e0ad735eddb8f22b933467c25b8c-5858481-images-thumbs&amp;n=13</t>
        </is>
      </c>
    </row>
    <row r="79">
      <c r="A79" t="inlineStr">
        <is>
          <t>Мир из прорех: Новые правила</t>
        </is>
      </c>
      <c r="B79" t="inlineStr">
        <is>
          <t>Яна Летт</t>
        </is>
      </c>
      <c r="C79" t="inlineStr">
        <is>
          <t>Мир из прорех</t>
        </is>
      </c>
      <c r="D79" t="n">
        <v>1</v>
      </c>
      <c r="E79" t="inlineStr">
        <is>
          <t>Прочитано</t>
        </is>
      </c>
      <c r="F79" t="inlineStr">
        <is>
          <t>Аудиокнига</t>
        </is>
      </c>
      <c r="K79" s="15" t="n">
        <v>46237</v>
      </c>
      <c r="L79" s="15" t="n">
        <v>46241</v>
      </c>
      <c r="M79">
        <f>IF(OR(K79="",L79=""),"",MAX(1,L79-K79+1))</f>
        <v/>
      </c>
      <c r="N79" s="16" t="inlineStr">
        <is>
          <t>4.5</t>
        </is>
      </c>
      <c r="O79" t="inlineStr">
        <is>
          <t>https://avatars.mds.yandex.net/i?id=3b7631aa7be715e7169a8340c45cf6d14e7438cc-5232974-images-thumbs&amp;n=13</t>
        </is>
      </c>
    </row>
    <row r="80">
      <c r="A80" t="inlineStr">
        <is>
          <t>Мир из прорех: Другой город</t>
        </is>
      </c>
      <c r="B80" t="inlineStr">
        <is>
          <t>Яна Летт</t>
        </is>
      </c>
      <c r="C80" t="inlineStr">
        <is>
          <t>Мир из прорех</t>
        </is>
      </c>
      <c r="D80" t="n">
        <v>2</v>
      </c>
      <c r="E80" t="inlineStr">
        <is>
          <t>Читаю</t>
        </is>
      </c>
      <c r="F80" t="inlineStr">
        <is>
          <t>Аудиокнига</t>
        </is>
      </c>
      <c r="K80" s="15" t="n"/>
      <c r="L80" s="15" t="n"/>
      <c r="M80">
        <f>IF(OR(K80="",L80=""),"",MAX(1,L80-K80+1))</f>
        <v/>
      </c>
      <c r="N80" s="16" t="n"/>
      <c r="O80" t="inlineStr">
        <is>
          <t>https://avatars.mds.yandex.net/i?id=f10daeea6d0d0eede98ecf63978a81ef09eaa068-10740243-images-thumbs&amp;n=13</t>
        </is>
      </c>
    </row>
    <row r="81">
      <c r="A81" t="inlineStr">
        <is>
          <t>Мир из прорех: Иные земли</t>
        </is>
      </c>
      <c r="B81" t="inlineStr">
        <is>
          <t>Яна Летт</t>
        </is>
      </c>
      <c r="C81" t="inlineStr">
        <is>
          <t>Мир из прорех</t>
        </is>
      </c>
      <c r="D81" t="n">
        <v>3</v>
      </c>
      <c r="E81" t="inlineStr">
        <is>
          <t>К прочтению</t>
        </is>
      </c>
      <c r="F81" t="inlineStr">
        <is>
          <t>Аудиокнига</t>
        </is>
      </c>
      <c r="K81" s="15" t="n"/>
      <c r="L81" s="15" t="n"/>
      <c r="M81">
        <f>IF(OR(K81="",L81=""),"",MAX(1,L81-K81+1))</f>
        <v/>
      </c>
      <c r="N81" s="16" t="n"/>
      <c r="O81" t="inlineStr">
        <is>
          <t>https://avatars.mds.yandex.net/i?id=2f191abb9fa61f845d88815c6b14d9bf63d2d8e1d784a563-11949611-images-thumbs&amp;n=13</t>
        </is>
      </c>
    </row>
    <row r="82">
      <c r="A82" t="inlineStr">
        <is>
          <t>Последнее желание</t>
        </is>
      </c>
      <c r="B82" t="inlineStr">
        <is>
          <t>Анджей Сапковский</t>
        </is>
      </c>
      <c r="C82" t="inlineStr">
        <is>
          <t>Ведьмак</t>
        </is>
      </c>
      <c r="D82" t="n">
        <v>1</v>
      </c>
      <c r="E82" t="inlineStr">
        <is>
          <t>Прочитано</t>
        </is>
      </c>
      <c r="F82" t="inlineStr">
        <is>
          <t>Аудиокнига</t>
        </is>
      </c>
      <c r="H82" t="n">
        <v>10</v>
      </c>
      <c r="K82" s="15" t="n">
        <v>46270</v>
      </c>
      <c r="L82" s="15" t="n">
        <v>46271</v>
      </c>
      <c r="M82">
        <f>IF(OR(K82="",L82=""),"",MAX(1,L82-K82+1))</f>
        <v/>
      </c>
      <c r="N82" s="16" t="inlineStr">
        <is>
          <t>5.0</t>
        </is>
      </c>
      <c r="O82" t="inlineStr">
        <is>
          <t>https://avatars.mds.yandex.net/i?id=7c28bddcb1ac2eeddff88959650b724ce357ee15-6946998-images-thumbs&amp;n=13</t>
        </is>
      </c>
    </row>
    <row r="83">
      <c r="A83" t="inlineStr">
        <is>
          <t>Меч Предназначения</t>
        </is>
      </c>
      <c r="B83" t="inlineStr">
        <is>
          <t>Анджей Сапковский</t>
        </is>
      </c>
      <c r="C83" t="inlineStr">
        <is>
          <t>Ведьмак</t>
        </is>
      </c>
      <c r="D83" t="n">
        <v>2</v>
      </c>
      <c r="E83" t="inlineStr">
        <is>
          <t>Прочитано</t>
        </is>
      </c>
      <c r="F83" t="inlineStr">
        <is>
          <t>Аудиокнига</t>
        </is>
      </c>
      <c r="H83" t="n">
        <v>13</v>
      </c>
      <c r="K83" s="15" t="n">
        <v>46272</v>
      </c>
      <c r="L83" s="15" t="n">
        <v>46273</v>
      </c>
      <c r="M83">
        <f>IF(OR(K83="",L83=""),"",MAX(1,L83-K83+1))</f>
        <v/>
      </c>
      <c r="N83" s="16" t="inlineStr">
        <is>
          <t>5.0</t>
        </is>
      </c>
      <c r="O83" t="inlineStr">
        <is>
          <t>https://avatars.mds.yandex.net/i?id=07d2a1045f781fcbd673d8f417bcb05e2a2b83f8-5222738-images-thumbs&amp;n=13</t>
        </is>
      </c>
    </row>
    <row r="84">
      <c r="A84" t="inlineStr">
        <is>
          <t>Кровь эльфов</t>
        </is>
      </c>
      <c r="B84" t="inlineStr">
        <is>
          <t>Анджей Сапковский</t>
        </is>
      </c>
      <c r="C84" t="inlineStr">
        <is>
          <t>Ведьмак</t>
        </is>
      </c>
      <c r="D84" t="n">
        <v>3</v>
      </c>
      <c r="E84" t="inlineStr">
        <is>
          <t>Прочитано</t>
        </is>
      </c>
      <c r="F84" t="inlineStr">
        <is>
          <t>Аудиокнига</t>
        </is>
      </c>
      <c r="H84" t="n">
        <v>11</v>
      </c>
      <c r="K84" s="15" t="n">
        <v>46274</v>
      </c>
      <c r="L84" s="15" t="n">
        <v>46275</v>
      </c>
      <c r="M84">
        <f>IF(OR(K84="",L84=""),"",MAX(1,L84-K84+1))</f>
        <v/>
      </c>
      <c r="N84" s="16" t="inlineStr">
        <is>
          <t>5.0</t>
        </is>
      </c>
      <c r="O84" t="inlineStr">
        <is>
          <t>https://avatars.mds.yandex.net/i?id=3e2ff05cb4f66836a632d4a086d431aad02d59d2-12155438-images-thumbs&amp;n=13</t>
        </is>
      </c>
    </row>
    <row r="85">
      <c r="A85" t="inlineStr">
        <is>
          <t>Час Презрения</t>
        </is>
      </c>
      <c r="B85" t="inlineStr">
        <is>
          <t>Анджей Сапковский</t>
        </is>
      </c>
      <c r="C85" t="inlineStr">
        <is>
          <t>Ведьмак</t>
        </is>
      </c>
      <c r="D85" t="n">
        <v>4</v>
      </c>
      <c r="E85" t="inlineStr">
        <is>
          <t>Прочитано</t>
        </is>
      </c>
      <c r="F85" t="inlineStr">
        <is>
          <t>Аудиокнига</t>
        </is>
      </c>
      <c r="H85" t="n">
        <v>11.5</v>
      </c>
      <c r="K85" s="15" t="n">
        <v>46276</v>
      </c>
      <c r="L85" s="15" t="n">
        <v>46277</v>
      </c>
      <c r="M85">
        <f>IF(OR(K85="",L85=""),"",MAX(1,L85-K85+1))</f>
        <v/>
      </c>
      <c r="N85" s="16" t="inlineStr">
        <is>
          <t>5.0</t>
        </is>
      </c>
      <c r="O85" t="inlineStr">
        <is>
          <t>https://avatars.mds.yandex.net/i?id=5d99b452554be1471bdf8d0287725a7260b32187-8454246-images-thumbs&amp;n=13</t>
        </is>
      </c>
    </row>
    <row r="86">
      <c r="A86" t="inlineStr">
        <is>
          <t>Крещение огнем</t>
        </is>
      </c>
      <c r="B86" t="inlineStr">
        <is>
          <t>Анджей Сапковский</t>
        </is>
      </c>
      <c r="C86" t="inlineStr">
        <is>
          <t>Ведьмак</t>
        </is>
      </c>
      <c r="D86" t="n">
        <v>5</v>
      </c>
      <c r="E86" t="inlineStr">
        <is>
          <t>Прочитано</t>
        </is>
      </c>
      <c r="F86" t="inlineStr">
        <is>
          <t>Аудиокнига</t>
        </is>
      </c>
      <c r="H86" t="n">
        <v>12.5</v>
      </c>
      <c r="K86" s="15" t="n">
        <v>46277</v>
      </c>
      <c r="L86" s="15" t="n">
        <v>46285</v>
      </c>
      <c r="M86">
        <f>IF(OR(K86="",L86=""),"",MAX(1,L86-K86+1))</f>
        <v/>
      </c>
      <c r="N86" s="16" t="inlineStr">
        <is>
          <t>5.0</t>
        </is>
      </c>
      <c r="O86" t="inlineStr">
        <is>
          <t>https://avatars.mds.yandex.net/i?id=b321eeb4a48b8019c23ceaa567d5e211b31ef5c6-12366556-images-thumbs&amp;n=13</t>
        </is>
      </c>
    </row>
    <row r="87">
      <c r="A87" t="inlineStr">
        <is>
          <t>Башня Ласточки</t>
        </is>
      </c>
      <c r="B87" t="inlineStr">
        <is>
          <t>Анджей Сапковский</t>
        </is>
      </c>
      <c r="C87" t="inlineStr">
        <is>
          <t>Ведьмак</t>
        </is>
      </c>
      <c r="D87" t="n">
        <v>6</v>
      </c>
      <c r="E87" t="inlineStr">
        <is>
          <t>Читаю</t>
        </is>
      </c>
      <c r="F87" t="inlineStr">
        <is>
          <t>Аудиокнига</t>
        </is>
      </c>
      <c r="H87" t="n">
        <v>15.5</v>
      </c>
      <c r="K87" s="15" t="n"/>
      <c r="L87" s="15" t="n"/>
      <c r="M87">
        <f>IF(OR(K87="",L87=""),"",MAX(1,L87-K87+1))</f>
        <v/>
      </c>
      <c r="N87" s="16" t="inlineStr">
        <is>
          <t>5.0</t>
        </is>
      </c>
      <c r="O87" t="inlineStr">
        <is>
          <t>https://avatars.mds.yandex.net/i?id=ebf20deba1e643f518c060ae2ed3fa5c97f45879-4936060-images-thumbs&amp;n=13</t>
        </is>
      </c>
    </row>
    <row r="88">
      <c r="A88" t="inlineStr">
        <is>
          <t>Владычица Озера</t>
        </is>
      </c>
      <c r="B88" t="inlineStr">
        <is>
          <t>Анджей Сапковский</t>
        </is>
      </c>
      <c r="C88" t="inlineStr">
        <is>
          <t>Ведьмак</t>
        </is>
      </c>
      <c r="D88" t="n">
        <v>7</v>
      </c>
      <c r="E88" t="inlineStr">
        <is>
          <t>К прочтению</t>
        </is>
      </c>
      <c r="F88" t="inlineStr">
        <is>
          <t>Аудиокнига</t>
        </is>
      </c>
      <c r="H88" t="n">
        <v>19</v>
      </c>
      <c r="K88" s="15" t="n"/>
      <c r="L88" s="15" t="n"/>
      <c r="M88">
        <f>IF(OR(K88="",L88=""),"",MAX(1,L88-K88+1))</f>
        <v/>
      </c>
      <c r="N88" s="16" t="inlineStr">
        <is>
          <t>5.0</t>
        </is>
      </c>
      <c r="O88" t="inlineStr">
        <is>
          <t>https://avatars.mds.yandex.net/i?id=a6036e1024b646775cda1c47868c27117896fd20-4346197-images-thumbs&amp;n=13</t>
        </is>
      </c>
    </row>
    <row r="89">
      <c r="A89" t="inlineStr">
        <is>
          <t>Сезон гроз</t>
        </is>
      </c>
      <c r="B89" t="inlineStr">
        <is>
          <t>Анджей Сапковский</t>
        </is>
      </c>
      <c r="C89" t="inlineStr">
        <is>
          <t>Ведьмак</t>
        </is>
      </c>
      <c r="D89" t="n">
        <v>8</v>
      </c>
      <c r="E89" t="inlineStr">
        <is>
          <t>К прочтению</t>
        </is>
      </c>
      <c r="F89" t="inlineStr">
        <is>
          <t>Книга</t>
        </is>
      </c>
      <c r="G89" t="n">
        <v>621</v>
      </c>
      <c r="K89" s="15" t="n"/>
      <c r="L89" s="15" t="n"/>
      <c r="M89">
        <f>IF(OR(K89="",L89=""),"",MAX(1,L89-K89+1))</f>
        <v/>
      </c>
      <c r="N89" s="16" t="inlineStr">
        <is>
          <t>5.0</t>
        </is>
      </c>
      <c r="O89" t="inlineStr">
        <is>
          <t>https://avatars.mds.yandex.net/i?id=3480afaa7b4b62d1d59b9dc07167f1fde10a2f7d-4011423-images-thumbs&amp;n=13</t>
        </is>
      </c>
    </row>
    <row r="90">
      <c r="A90" t="inlineStr">
        <is>
          <t>Дорога без возврата</t>
        </is>
      </c>
      <c r="B90" t="inlineStr">
        <is>
          <t>Анджей Сапковский</t>
        </is>
      </c>
      <c r="C90" t="inlineStr">
        <is>
          <t>Ведьмак</t>
        </is>
      </c>
      <c r="D90" t="n">
        <v>9</v>
      </c>
      <c r="E90" t="inlineStr">
        <is>
          <t>К прочтению</t>
        </is>
      </c>
      <c r="F90" t="inlineStr">
        <is>
          <t>Книга</t>
        </is>
      </c>
      <c r="G90" t="n">
        <v>42</v>
      </c>
      <c r="K90" s="15" t="n"/>
      <c r="L90" s="15" t="n"/>
      <c r="M90">
        <f>IF(OR(K90="",L90=""),"",MAX(1,L90-K90+1))</f>
        <v/>
      </c>
      <c r="N90" s="16" t="inlineStr">
        <is>
          <t>5.0</t>
        </is>
      </c>
      <c r="O90" t="inlineStr">
        <is>
          <t>https://avatars.mds.yandex.net/i?id=90431cb669f91fe4a3b01ccec566dea7b0dbc483-3699759-images-thumbs&amp;n=13</t>
        </is>
      </c>
    </row>
    <row r="91">
      <c r="A91" t="inlineStr">
        <is>
          <t>Перекресток воронов</t>
        </is>
      </c>
      <c r="B91" t="inlineStr">
        <is>
          <t>Анджей Сапковский</t>
        </is>
      </c>
      <c r="C91" t="inlineStr">
        <is>
          <t>Ведьмак</t>
        </is>
      </c>
      <c r="D91" t="n">
        <v>10</v>
      </c>
      <c r="E91" t="inlineStr">
        <is>
          <t>К прочтению</t>
        </is>
      </c>
      <c r="F91" t="inlineStr">
        <is>
          <t>Книга</t>
        </is>
      </c>
      <c r="G91" t="n">
        <v>231</v>
      </c>
      <c r="K91" s="15" t="n"/>
      <c r="L91" s="15" t="n"/>
      <c r="M91">
        <f>IF(OR(K91="",L91=""),"",MAX(1,L91-K91+1))</f>
        <v/>
      </c>
      <c r="N91" s="16" t="inlineStr">
        <is>
          <t>5.0</t>
        </is>
      </c>
      <c r="O91" t="inlineStr">
        <is>
          <t>https://avatars.mds.yandex.net/i?id=5e1110aa930a8fb5a55e045a6549454f45ac642a-5486654-images-thumbs&amp;n=13</t>
        </is>
      </c>
    </row>
    <row r="92">
      <c r="A92" t="inlineStr">
        <is>
          <t>Повелитель тайн</t>
        </is>
      </c>
      <c r="B92" t="inlineStr">
        <is>
          <t>Е Юань</t>
        </is>
      </c>
      <c r="C92" t="inlineStr">
        <is>
          <t>Повелитель тайн</t>
        </is>
      </c>
      <c r="D92" t="n">
        <v>1</v>
      </c>
      <c r="E92" t="inlineStr">
        <is>
          <t>Брошено</t>
        </is>
      </c>
      <c r="F92" t="inlineStr">
        <is>
          <t>Аудиокнига</t>
        </is>
      </c>
      <c r="H92" t="n">
        <v>2</v>
      </c>
      <c r="K92" s="15" t="n">
        <v>46268</v>
      </c>
      <c r="L92" s="15" t="n">
        <v>46268</v>
      </c>
      <c r="M92">
        <f>IF(OR(K92="",L92=""),"",MAX(1,L92-K92+1))</f>
        <v/>
      </c>
      <c r="N92" s="16" t="inlineStr">
        <is>
          <t>2.5</t>
        </is>
      </c>
      <c r="O92" t="inlineStr">
        <is>
          <t>https://avatars.mds.yandex.net/i?id=5b67d52a0a2a887c41d802d88d8563a468729faa-10235574-images-thumbs&amp;n=13</t>
        </is>
      </c>
    </row>
    <row r="93">
      <c r="A93" t="n">
        <v>1984</v>
      </c>
      <c r="B93" t="inlineStr">
        <is>
          <t>Джордж Оруэлл</t>
        </is>
      </c>
      <c r="E93" t="inlineStr">
        <is>
          <t>Прочитано</t>
        </is>
      </c>
      <c r="F93" t="inlineStr">
        <is>
          <t>Аудиокнига</t>
        </is>
      </c>
      <c r="H93" t="n">
        <v>11.5</v>
      </c>
      <c r="K93" s="15" t="n">
        <v>46267</v>
      </c>
      <c r="L93" s="15" t="n">
        <v>46270</v>
      </c>
      <c r="M93">
        <f>IF(OR(K93="",L93=""),"",MAX(1,L93-K93+1))</f>
        <v/>
      </c>
      <c r="N93" s="16" t="inlineStr">
        <is>
          <t>4.5</t>
        </is>
      </c>
      <c r="O93" t="inlineStr">
        <is>
          <t>https://avatars.mds.yandex.net/i?id=8aca63f596ad926208b81dbcf7fa5d98756b42e1-3732926-images-thumbs&amp;n=13</t>
        </is>
      </c>
    </row>
    <row r="94" ht="28.8" customHeight="1">
      <c r="A94" t="inlineStr">
        <is>
          <t>Четвертая промышленная революция</t>
        </is>
      </c>
      <c r="B94" t="inlineStr">
        <is>
          <t>Клаус Шваб</t>
        </is>
      </c>
      <c r="E94" t="inlineStr">
        <is>
          <t>К прочтению</t>
        </is>
      </c>
      <c r="F94" t="inlineStr">
        <is>
          <t>Аудиокнига</t>
        </is>
      </c>
      <c r="H94" t="n">
        <v>6</v>
      </c>
      <c r="K94" s="15" t="n"/>
      <c r="L94" s="15" t="n"/>
      <c r="M94">
        <f>IF(OR(K94="",L94=""),"",MAX(1,L94-K94+1))</f>
        <v/>
      </c>
      <c r="N94" s="16" t="n"/>
      <c r="O94" t="inlineStr">
        <is>
          <t>https://avatars.mds.yandex.net/i?id=25eb4686bf3e098a317eba458faa3e4b3336338d-12480075-images-thumbs&amp;n=13</t>
        </is>
      </c>
    </row>
    <row r="95">
      <c r="A95" t="inlineStr">
        <is>
          <t>Гарри Поттер и скрытые смыслы</t>
        </is>
      </c>
      <c r="B95" t="inlineStr">
        <is>
          <t>Аня Комаревич</t>
        </is>
      </c>
      <c r="E95" t="inlineStr">
        <is>
          <t>К прочтению</t>
        </is>
      </c>
      <c r="F95" t="inlineStr">
        <is>
          <t>Аудиокнига</t>
        </is>
      </c>
      <c r="H95" t="n">
        <v>4.5</v>
      </c>
      <c r="K95" s="15" t="n"/>
      <c r="L95" s="15" t="n"/>
      <c r="M95">
        <f>IF(OR(K95="",L95=""),"",MAX(1,L95-K95+1))</f>
        <v/>
      </c>
      <c r="N95" s="16" t="n"/>
      <c r="O95" t="inlineStr">
        <is>
          <t>https://avatars.mds.yandex.net/i?id=a36687321d27112da01cce9b3d95f35587b1cbdc-3936694-images-thumbs&amp;n=13</t>
        </is>
      </c>
    </row>
    <row r="96">
      <c r="A96" t="inlineStr">
        <is>
          <t>Киллер в отставке копает грядки</t>
        </is>
      </c>
      <c r="B96" t="inlineStr">
        <is>
          <t>Наоми Каттнер</t>
        </is>
      </c>
      <c r="E96" t="inlineStr">
        <is>
          <t>К прочтению</t>
        </is>
      </c>
      <c r="F96" t="inlineStr">
        <is>
          <t>Аудиокнига</t>
        </is>
      </c>
      <c r="H96" t="n">
        <v>12.5</v>
      </c>
      <c r="K96" s="15" t="n"/>
      <c r="L96" s="15" t="n"/>
      <c r="M96">
        <f>IF(OR(K96="",L96=""),"",MAX(1,L96-K96+1))</f>
        <v/>
      </c>
      <c r="N96" s="16" t="n"/>
      <c r="O96" t="inlineStr">
        <is>
          <t>https://avatars.mds.yandex.net/i?id=4d8bfe5d5e3701662ed36bc1fc9142ed97e7e392-10257741-images-thumbs&amp;n=13</t>
        </is>
      </c>
    </row>
    <row r="97" ht="43.2" customHeight="1">
      <c r="A97" t="inlineStr">
        <is>
          <t>Преступления в которые трудно поверить: Резонансные дела из архивов судов и спецслужб</t>
        </is>
      </c>
      <c r="B97" t="inlineStr">
        <is>
          <t>Ева Маркачева</t>
        </is>
      </c>
      <c r="E97" t="inlineStr">
        <is>
          <t>К прочтению</t>
        </is>
      </c>
      <c r="F97" t="inlineStr">
        <is>
          <t>Аудиокнига</t>
        </is>
      </c>
      <c r="H97" t="n">
        <v>8.5</v>
      </c>
      <c r="K97" s="15" t="n"/>
      <c r="L97" s="15" t="n"/>
      <c r="M97">
        <f>IF(OR(K97="",L97=""),"",MAX(1,L97-K97+1))</f>
        <v/>
      </c>
      <c r="N97" s="16" t="n"/>
      <c r="O97" t="inlineStr">
        <is>
          <t>https://avatars.mds.yandex.net/i?id=86b57a953c31a63303d82373dcd7dd77a1dcf87e-12486189-images-thumbs&amp;n=13</t>
        </is>
      </c>
    </row>
    <row r="98">
      <c r="A98" t="inlineStr">
        <is>
          <t>Фальшивка</t>
        </is>
      </c>
      <c r="B98" t="inlineStr">
        <is>
          <t>Чжина Кан</t>
        </is>
      </c>
      <c r="E98" t="inlineStr">
        <is>
          <t>К прочтению</t>
        </is>
      </c>
      <c r="F98" t="inlineStr">
        <is>
          <t>Аудиокнига</t>
        </is>
      </c>
      <c r="H98" t="n">
        <v>4</v>
      </c>
      <c r="K98" s="15" t="n"/>
      <c r="L98" s="15" t="n"/>
      <c r="M98">
        <f>IF(OR(K98="",L98=""),"",MAX(1,L98-K98+1))</f>
        <v/>
      </c>
      <c r="N98" s="16" t="n"/>
      <c r="O98" t="inlineStr">
        <is>
          <t>https://avatars.mds.yandex.net/i?id=c04b4a515d0dd82644cb1a3987e39cc11a5dc05f-5540534-images-thumbs&amp;n=13</t>
        </is>
      </c>
    </row>
  </sheetData>
  <autoFilter ref="A1:M116">
    <sortState ref="A2:M116">
      <sortCondition ref="B1"/>
    </sortState>
  </autoFilter>
  <conditionalFormatting sqref="A1:A1048576">
    <cfRule type="duplicateValues" priority="3" dxfId="0"/>
  </conditionalFormatting>
  <conditionalFormatting sqref="C2">
    <cfRule type="duplicateValues" priority="2" dxfId="0"/>
  </conditionalFormatting>
  <conditionalFormatting sqref="C91:C92">
    <cfRule type="duplicateValues" priority="1" dxfId="0"/>
  </conditionalFormatting>
  <dataValidations count="7">
    <dataValidation sqref="K1:K7 K9:K12 K14:K22 K24:K1048574" showDropDown="0" showInputMessage="1" showErrorMessage="1" allowBlank="1" type="custom">
      <formula1>IF(OR(I2="",J2=""),"",MAX(1,J2-I2))</formula1>
    </dataValidation>
    <dataValidation sqref="K8" showDropDown="0" showInputMessage="1" showErrorMessage="1" allowBlank="1" type="custom">
      <formula1>IF(OR(I42="",J42=""),"",MAX(1,J42-I42))</formula1>
    </dataValidation>
    <dataValidation sqref="K23" showDropDown="0" showInputMessage="1" showErrorMessage="1" allowBlank="1" type="custom">
      <formula1>IF(OR(I64="",J64=""),"",MAX(1,J64-I64))</formula1>
    </dataValidation>
    <dataValidation sqref="K13" showDropDown="0" showInputMessage="1" showErrorMessage="1" allowBlank="1" type="custom">
      <formula1>IF(OR(I21="",J21=""),"",MAX(1,J21-I21))</formula1>
    </dataValidation>
    <dataValidation sqref="K1048575:K1048576" showDropDown="0" showInputMessage="1" showErrorMessage="1" allowBlank="1" type="custom">
      <formula1>IF(OR(I1="",J1=""),"",MAX(1,J1-I1))</formula1>
    </dataValidation>
    <dataValidation sqref="E2:E500" showDropDown="0" showInputMessage="0" showErrorMessage="0" allowBlank="1" type="list">
      <formula1>"К прочтению,Читаю,На паузе,Прочитано,Брошено"</formula1>
    </dataValidation>
    <dataValidation sqref="F2:F500" showDropDown="0" showInputMessage="0" showErrorMessage="0" allowBlank="1" type="list">
      <formula1>"Книга,Аудиокнига,Комикс"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H10" sqref="H10"/>
    </sheetView>
  </sheetViews>
  <sheetFormatPr baseColWidth="8" defaultRowHeight="14.4"/>
  <cols>
    <col width="11.109375" bestFit="1" customWidth="1" min="1" max="1"/>
    <col width="14.5546875" bestFit="1" customWidth="1" min="2" max="2"/>
  </cols>
  <sheetData>
    <row r="1">
      <c r="A1" s="9" t="inlineStr">
        <is>
          <t>Формат</t>
        </is>
      </c>
      <c r="B1" s="9" t="inlineStr">
        <is>
          <t>Статус</t>
        </is>
      </c>
    </row>
    <row r="2">
      <c r="A2" t="inlineStr">
        <is>
          <t>Книга</t>
        </is>
      </c>
      <c r="B2" t="inlineStr">
        <is>
          <t>К прочтению</t>
        </is>
      </c>
    </row>
    <row r="3">
      <c r="A3" t="inlineStr">
        <is>
          <t>Аудиокнига</t>
        </is>
      </c>
      <c r="B3" t="inlineStr">
        <is>
          <t>Чтение</t>
        </is>
      </c>
    </row>
    <row r="4">
      <c r="A4" t="inlineStr">
        <is>
          <t>Комикс</t>
        </is>
      </c>
      <c r="B4" t="inlineStr">
        <is>
          <t>Я все прочитал!</t>
        </is>
      </c>
    </row>
    <row r="5">
      <c r="B5" t="inlineStr">
        <is>
          <t>Пауза</t>
        </is>
      </c>
    </row>
    <row r="6">
      <c r="B6" t="inlineStr">
        <is>
          <t>Бросил читать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Анастасия Авдеева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2026-09-23T13:45:43Z</dcterms:modified>
  <cp:lastModifiedBy>Анастасия Авдеева</cp:lastModifiedBy>
</cp:coreProperties>
</file>